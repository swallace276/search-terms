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ed Waters Lab\search-terms\Data\"/>
    </mc:Choice>
  </mc:AlternateContent>
  <xr:revisionPtr revIDLastSave="0" documentId="13_ncr:1_{75BF2C69-FFEB-44D1-B2D6-E54C2697E767}" xr6:coauthVersionLast="47" xr6:coauthVersionMax="47" xr10:uidLastSave="{00000000-0000-0000-0000-000000000000}"/>
  <bookViews>
    <workbookView xWindow="-103" yWindow="-103" windowWidth="22149" windowHeight="12103" xr2:uid="{00000000-000D-0000-FFFF-FFFF00000000}"/>
  </bookViews>
  <sheets>
    <sheet name="Basin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D7" i="1"/>
  <c r="G6" i="1"/>
  <c r="D6" i="1"/>
  <c r="D3" i="1"/>
  <c r="D4" i="1"/>
  <c r="D5" i="1"/>
  <c r="D9" i="1"/>
  <c r="G9" i="1"/>
  <c r="G3" i="1"/>
  <c r="G4" i="1"/>
  <c r="G5" i="1"/>
  <c r="G2" i="1"/>
  <c r="D2" i="1"/>
</calcChain>
</file>

<file path=xl/sharedStrings.xml><?xml version="1.0" encoding="utf-8"?>
<sst xmlns="http://schemas.openxmlformats.org/spreadsheetml/2006/main" count="22" uniqueCount="22">
  <si>
    <t>Basin</t>
  </si>
  <si>
    <t>Original Protocol - Total Articles</t>
  </si>
  <si>
    <t>Original Protocol - Relevant</t>
  </si>
  <si>
    <t>Original Protocol - Success Rate</t>
  </si>
  <si>
    <t>New Protocol - Total Articles</t>
  </si>
  <si>
    <t>New Protocol - Relevant</t>
  </si>
  <si>
    <t>New Protocol - Success Rate</t>
  </si>
  <si>
    <t>Notes</t>
  </si>
  <si>
    <t>Drin</t>
  </si>
  <si>
    <t>Vardar</t>
  </si>
  <si>
    <t>Awash</t>
  </si>
  <si>
    <t>Ural</t>
  </si>
  <si>
    <t>TOTAL</t>
  </si>
  <si>
    <t>Original includes false positives from peace talks</t>
  </si>
  <si>
    <t>Both protocols found 0 relevant articles</t>
  </si>
  <si>
    <t>Original more efficient (same results, 90% less review)</t>
  </si>
  <si>
    <t>New protocol preferred overall for comprehensive coverage</t>
  </si>
  <si>
    <t xml:space="preserve">Both returned 0 relevant </t>
  </si>
  <si>
    <t>Pungwe</t>
  </si>
  <si>
    <t>Original more efficient, but one more relevant article found in new protocol (but not a new event - covered in existing articles)</t>
  </si>
  <si>
    <t>Tumen</t>
  </si>
  <si>
    <t>New is more efficient AND included a genuinely relevant and consequential event.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</si>
</sst>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0" fontId="0" fillId="0" borderId="0" xfId="1" applyNumberFormat="1" applyFont="1"/>
    <xf numFmtId="10" fontId="1" fillId="0" borderId="1" xfId="1" applyNumberFormat="1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Id="1" sqref="A9:F9 A1:G8"/>
    </sheetView>
  </sheetViews>
  <sheetFormatPr defaultRowHeight="14.6" x14ac:dyDescent="0.4"/>
  <cols>
    <col min="4" max="4" width="9.23046875" style="3"/>
    <col min="7" max="7" width="9.23046875" style="3"/>
  </cols>
  <sheetData>
    <row r="1" spans="1:8" s="2" customFormat="1" ht="58.3" x14ac:dyDescent="0.4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4" t="s">
        <v>6</v>
      </c>
      <c r="H1" s="1" t="s">
        <v>7</v>
      </c>
    </row>
    <row r="2" spans="1:8" x14ac:dyDescent="0.4">
      <c r="A2" t="s">
        <v>8</v>
      </c>
      <c r="B2">
        <v>154</v>
      </c>
      <c r="C2">
        <v>2</v>
      </c>
      <c r="D2" s="3">
        <f>C2/B2</f>
        <v>1.2987012987012988E-2</v>
      </c>
      <c r="E2">
        <v>293</v>
      </c>
      <c r="F2">
        <v>1</v>
      </c>
      <c r="G2" s="3">
        <f>F2/E2</f>
        <v>3.4129692832764505E-3</v>
      </c>
      <c r="H2" t="s">
        <v>13</v>
      </c>
    </row>
    <row r="3" spans="1:8" x14ac:dyDescent="0.4">
      <c r="A3" t="s">
        <v>9</v>
      </c>
      <c r="B3">
        <v>4</v>
      </c>
      <c r="C3">
        <v>0</v>
      </c>
      <c r="D3" s="3">
        <f t="shared" ref="D3:D9" si="0">C3/B3</f>
        <v>0</v>
      </c>
      <c r="E3">
        <v>348</v>
      </c>
      <c r="F3">
        <v>0</v>
      </c>
      <c r="G3" s="3">
        <f t="shared" ref="G3:G9" si="1">F3/E3</f>
        <v>0</v>
      </c>
      <c r="H3" t="s">
        <v>17</v>
      </c>
    </row>
    <row r="4" spans="1:8" x14ac:dyDescent="0.4">
      <c r="A4" t="s">
        <v>10</v>
      </c>
      <c r="B4">
        <v>161</v>
      </c>
      <c r="C4">
        <v>0</v>
      </c>
      <c r="D4" s="3">
        <f t="shared" si="0"/>
        <v>0</v>
      </c>
      <c r="E4">
        <v>329</v>
      </c>
      <c r="F4">
        <v>0</v>
      </c>
      <c r="G4" s="3">
        <f t="shared" si="1"/>
        <v>0</v>
      </c>
      <c r="H4" t="s">
        <v>14</v>
      </c>
    </row>
    <row r="5" spans="1:8" x14ac:dyDescent="0.4">
      <c r="A5" t="s">
        <v>11</v>
      </c>
      <c r="B5">
        <v>92</v>
      </c>
      <c r="C5">
        <v>2</v>
      </c>
      <c r="D5" s="3">
        <f t="shared" si="0"/>
        <v>2.1739130434782608E-2</v>
      </c>
      <c r="E5">
        <v>948</v>
      </c>
      <c r="F5">
        <v>2</v>
      </c>
      <c r="G5" s="3">
        <f t="shared" si="1"/>
        <v>2.1097046413502108E-3</v>
      </c>
      <c r="H5" t="s">
        <v>15</v>
      </c>
    </row>
    <row r="6" spans="1:8" x14ac:dyDescent="0.4">
      <c r="A6" t="s">
        <v>18</v>
      </c>
      <c r="B6">
        <v>5</v>
      </c>
      <c r="C6">
        <v>5</v>
      </c>
      <c r="D6" s="3">
        <f t="shared" si="0"/>
        <v>1</v>
      </c>
      <c r="E6">
        <v>25</v>
      </c>
      <c r="F6">
        <v>6</v>
      </c>
      <c r="G6" s="3">
        <f t="shared" si="1"/>
        <v>0.24</v>
      </c>
      <c r="H6" t="s">
        <v>19</v>
      </c>
    </row>
    <row r="7" spans="1:8" x14ac:dyDescent="0.4">
      <c r="A7" t="s">
        <v>20</v>
      </c>
      <c r="B7">
        <v>15</v>
      </c>
      <c r="C7">
        <v>14</v>
      </c>
      <c r="D7" s="3">
        <f t="shared" si="0"/>
        <v>0.93333333333333335</v>
      </c>
      <c r="E7">
        <v>17</v>
      </c>
      <c r="F7">
        <v>16</v>
      </c>
      <c r="G7" s="3">
        <f t="shared" si="1"/>
        <v>0.94117647058823528</v>
      </c>
      <c r="H7" t="s">
        <v>21</v>
      </c>
    </row>
    <row r="9" spans="1:8" x14ac:dyDescent="0.4">
      <c r="A9" t="s">
        <v>12</v>
      </c>
      <c r="B9">
        <v>407</v>
      </c>
      <c r="C9">
        <v>4</v>
      </c>
      <c r="D9" s="3">
        <f t="shared" si="0"/>
        <v>9.8280098280098278E-3</v>
      </c>
      <c r="E9">
        <v>1918</v>
      </c>
      <c r="F9">
        <v>3</v>
      </c>
      <c r="G9" s="3">
        <f t="shared" si="1"/>
        <v>1.5641293013555788E-3</v>
      </c>
      <c r="H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Basin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Wallace, Selena F</cp:lastModifiedBy>
  <dcterms:created xsi:type="dcterms:W3CDTF">2025-12-02T04:50:33Z</dcterms:created>
  <dcterms:modified xsi:type="dcterms:W3CDTF">2025-12-05T23:31:24Z</dcterms:modified>
</cp:coreProperties>
</file>