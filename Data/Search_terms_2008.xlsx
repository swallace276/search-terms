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selenawallace/Documents/Data_Science/"/>
    </mc:Choice>
  </mc:AlternateContent>
  <xr:revisionPtr revIDLastSave="0" documentId="13_ncr:1_{533CED2F-1B1B-474B-87A6-02C1D4C5C49C}" xr6:coauthVersionLast="47" xr6:coauthVersionMax="47" xr10:uidLastSave="{00000000-0000-0000-0000-000000000000}"/>
  <bookViews>
    <workbookView xWindow="0" yWindow="500" windowWidth="23260" windowHeight="14860" activeTab="2" xr2:uid="{00000000-000D-0000-FFFF-FFFF00000000}"/>
  </bookViews>
  <sheets>
    <sheet name="New Search" sheetId="2" r:id="rId1"/>
    <sheet name="Automation Prepping" sheetId="3" r:id="rId2"/>
    <sheet name="Selena Automation Tracking" sheetId="4" r:id="rId3"/>
    <sheet name="Old Search_Do Not Use" sheetId="1" r:id="rId4"/>
  </sheets>
  <definedNames>
    <definedName name="_xlnm._FilterDatabase" localSheetId="1" hidden="1">'Automation Prepping'!$A$1:$J$315</definedName>
    <definedName name="_xlnm._FilterDatabase" localSheetId="0" hidden="1">'New Search'!$B$1:$L$315</definedName>
    <definedName name="_xlnm._FilterDatabase" localSheetId="3" hidden="1">'Old Search_Do Not Use'!$B$10:$J$325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VCQaobEwPv+Cn2GpJ2Q/jOh56HA=="/>
    </ext>
  </extLst>
</workbook>
</file>

<file path=xl/calcChain.xml><?xml version="1.0" encoding="utf-8"?>
<calcChain xmlns="http://schemas.openxmlformats.org/spreadsheetml/2006/main">
  <c r="L2" i="4" l="1" a="1"/>
  <c r="L2" i="4" s="1"/>
  <c r="L3" i="4" a="1"/>
  <c r="L3" i="4" s="1"/>
  <c r="L4" i="4" a="1"/>
  <c r="L4" i="4" s="1"/>
  <c r="L5" i="4" a="1"/>
  <c r="L5" i="4" s="1"/>
  <c r="L6" i="4" a="1"/>
  <c r="L6" i="4" s="1"/>
  <c r="L7" i="4" a="1"/>
  <c r="L7" i="4" s="1"/>
  <c r="L8" i="4" a="1"/>
  <c r="L8" i="4" s="1"/>
  <c r="L9" i="4" a="1"/>
  <c r="L9" i="4" s="1"/>
  <c r="L10" i="4" a="1"/>
  <c r="L10" i="4" s="1"/>
  <c r="L11" i="4" a="1"/>
  <c r="L11" i="4" s="1"/>
  <c r="L12" i="4" a="1"/>
  <c r="L12" i="4" s="1"/>
  <c r="L13" i="4" a="1"/>
  <c r="L13" i="4" s="1"/>
  <c r="L14" i="4" a="1"/>
  <c r="L14" i="4" s="1"/>
  <c r="L15" i="4" a="1"/>
  <c r="L15" i="4" s="1"/>
  <c r="L16" i="4" a="1"/>
  <c r="L16" i="4" s="1"/>
  <c r="L17" i="4" a="1"/>
  <c r="L17" i="4" s="1"/>
  <c r="L18" i="4" a="1"/>
  <c r="L18" i="4" s="1"/>
  <c r="L19" i="4" a="1"/>
  <c r="L19" i="4" s="1"/>
  <c r="L20" i="4" a="1"/>
  <c r="L20" i="4" s="1"/>
  <c r="L21" i="4" a="1"/>
  <c r="L21" i="4" s="1"/>
  <c r="L22" i="4" a="1"/>
  <c r="L22" i="4" s="1"/>
  <c r="L23" i="4" a="1"/>
  <c r="L23" i="4" s="1"/>
  <c r="L24" i="4" a="1"/>
  <c r="L24" i="4" s="1"/>
  <c r="L25" i="4" a="1"/>
  <c r="L25" i="4" s="1"/>
  <c r="L26" i="4" a="1"/>
  <c r="L26" i="4" s="1"/>
  <c r="L27" i="4" a="1"/>
  <c r="L27" i="4" s="1"/>
  <c r="L28" i="4" a="1"/>
  <c r="L28" i="4" s="1"/>
  <c r="L29" i="4" a="1"/>
  <c r="L29" i="4" s="1"/>
  <c r="L30" i="4" a="1"/>
  <c r="L30" i="4" s="1"/>
  <c r="L31" i="4" a="1"/>
  <c r="L31" i="4" s="1"/>
  <c r="L32" i="4" a="1"/>
  <c r="L32" i="4" s="1"/>
  <c r="L33" i="4" a="1"/>
  <c r="L33" i="4" s="1"/>
  <c r="L34" i="4" a="1"/>
  <c r="L34" i="4" s="1"/>
  <c r="L35" i="4" a="1"/>
  <c r="L35" i="4" s="1"/>
  <c r="L36" i="4" a="1"/>
  <c r="L36" i="4" s="1"/>
  <c r="L37" i="4" a="1"/>
  <c r="L37" i="4" s="1"/>
  <c r="L38" i="4" a="1"/>
  <c r="L38" i="4" s="1"/>
  <c r="L39" i="4" a="1"/>
  <c r="L39" i="4" s="1"/>
  <c r="L40" i="4" a="1"/>
  <c r="L40" i="4" s="1"/>
  <c r="L41" i="4" a="1"/>
  <c r="L41" i="4" s="1"/>
  <c r="L42" i="4" a="1"/>
  <c r="L42" i="4" s="1"/>
  <c r="L43" i="4" a="1"/>
  <c r="L43" i="4" s="1"/>
  <c r="L44" i="4" a="1"/>
  <c r="L44" i="4" s="1"/>
  <c r="L45" i="4" a="1"/>
  <c r="L45" i="4" s="1"/>
  <c r="L46" i="4" a="1"/>
  <c r="L46" i="4" s="1"/>
  <c r="L47" i="4" a="1"/>
  <c r="L47" i="4" s="1"/>
  <c r="L48" i="4" a="1"/>
  <c r="L48" i="4" s="1"/>
  <c r="L49" i="4" a="1"/>
  <c r="L49" i="4" s="1"/>
  <c r="L50" i="4" a="1"/>
  <c r="L50" i="4" s="1"/>
  <c r="L51" i="4" a="1"/>
  <c r="L51" i="4" s="1"/>
  <c r="L52" i="4" a="1"/>
  <c r="L52" i="4" s="1"/>
  <c r="L53" i="4" a="1"/>
  <c r="L53" i="4" s="1"/>
  <c r="L54" i="4" a="1"/>
  <c r="L54" i="4" s="1"/>
  <c r="L55" i="4" a="1"/>
  <c r="L55" i="4" s="1"/>
  <c r="L56" i="4" a="1"/>
  <c r="L56" i="4" s="1"/>
  <c r="L57" i="4" a="1"/>
  <c r="L57" i="4" s="1"/>
  <c r="L58" i="4" a="1"/>
  <c r="L58" i="4" s="1"/>
  <c r="L59" i="4" a="1"/>
  <c r="L59" i="4" s="1"/>
  <c r="L60" i="4" a="1"/>
  <c r="L60" i="4" s="1"/>
  <c r="L61" i="4" a="1"/>
  <c r="L61" i="4" s="1"/>
  <c r="L62" i="4" a="1"/>
  <c r="L62" i="4" s="1"/>
  <c r="L63" i="4" a="1"/>
  <c r="L63" i="4" s="1"/>
  <c r="L64" i="4" a="1"/>
  <c r="L64" i="4" s="1"/>
  <c r="L65" i="4" a="1"/>
  <c r="L65" i="4" s="1"/>
  <c r="L66" i="4" a="1"/>
  <c r="L66" i="4" s="1"/>
  <c r="L67" i="4" a="1"/>
  <c r="L67" i="4" s="1"/>
  <c r="L68" i="4" a="1"/>
  <c r="L68" i="4" s="1"/>
  <c r="L69" i="4" a="1"/>
  <c r="L69" i="4" s="1"/>
  <c r="L70" i="4" a="1"/>
  <c r="L70" i="4" s="1"/>
  <c r="L71" i="4" a="1"/>
  <c r="L71" i="4" s="1"/>
  <c r="L72" i="4" a="1"/>
  <c r="L72" i="4" s="1"/>
  <c r="L73" i="4" a="1"/>
  <c r="L73" i="4" s="1"/>
  <c r="L74" i="4" a="1"/>
  <c r="L74" i="4" s="1"/>
  <c r="L75" i="4" a="1"/>
  <c r="L75" i="4" s="1"/>
  <c r="L76" i="4" a="1"/>
  <c r="L76" i="4" s="1"/>
  <c r="L77" i="4" a="1"/>
  <c r="L77" i="4" s="1"/>
  <c r="L78" i="4" a="1"/>
  <c r="L78" i="4" s="1"/>
  <c r="L79" i="4" a="1"/>
  <c r="L79" i="4" s="1"/>
  <c r="L80" i="4" a="1"/>
  <c r="L80" i="4" s="1"/>
  <c r="L81" i="4" a="1"/>
  <c r="L81" i="4" s="1"/>
  <c r="L82" i="4" a="1"/>
  <c r="L82" i="4" s="1"/>
  <c r="L83" i="4" a="1"/>
  <c r="L83" i="4" s="1"/>
  <c r="L84" i="4" a="1"/>
  <c r="L84" i="4" s="1"/>
  <c r="L85" i="4" a="1"/>
  <c r="L85" i="4" s="1"/>
  <c r="L86" i="4" a="1"/>
  <c r="L86" i="4" s="1"/>
  <c r="L87" i="4" a="1"/>
  <c r="L87" i="4" s="1"/>
  <c r="L88" i="4" a="1"/>
  <c r="L88" i="4" s="1"/>
  <c r="L89" i="4" a="1"/>
  <c r="L89" i="4" s="1"/>
  <c r="L90" i="4" a="1"/>
  <c r="L90" i="4" s="1"/>
  <c r="L91" i="4" a="1"/>
  <c r="L91" i="4" s="1"/>
  <c r="L92" i="4" a="1"/>
  <c r="L92" i="4" s="1"/>
  <c r="L93" i="4" a="1"/>
  <c r="L93" i="4" s="1"/>
  <c r="L94" i="4" a="1"/>
  <c r="L94" i="4" s="1"/>
  <c r="L95" i="4" a="1"/>
  <c r="L95" i="4" s="1"/>
  <c r="L96" i="4" a="1"/>
  <c r="L96" i="4" s="1"/>
  <c r="L97" i="4" a="1"/>
  <c r="L97" i="4" s="1"/>
  <c r="L98" i="4" a="1"/>
  <c r="L98" i="4" s="1"/>
  <c r="L99" i="4" a="1"/>
  <c r="L99" i="4" s="1"/>
  <c r="L100" i="4" a="1"/>
  <c r="L100" i="4" s="1"/>
  <c r="L101" i="4" a="1"/>
  <c r="L101" i="4" s="1"/>
  <c r="L102" i="4" a="1"/>
  <c r="L102" i="4" s="1"/>
  <c r="L103" i="4" a="1"/>
  <c r="L103" i="4" s="1"/>
  <c r="L104" i="4" a="1"/>
  <c r="L104" i="4" s="1"/>
  <c r="L105" i="4" a="1"/>
  <c r="L105" i="4" s="1"/>
  <c r="L106" i="4" a="1"/>
  <c r="L106" i="4" s="1"/>
  <c r="L107" i="4" a="1"/>
  <c r="L107" i="4" s="1"/>
  <c r="L108" i="4" a="1"/>
  <c r="L108" i="4" s="1"/>
  <c r="L109" i="4" a="1"/>
  <c r="L109" i="4" s="1"/>
  <c r="L110" i="4" a="1"/>
  <c r="L110" i="4" s="1"/>
  <c r="L111" i="4" a="1"/>
  <c r="L111" i="4" s="1"/>
  <c r="L112" i="4" a="1"/>
  <c r="L112" i="4" s="1"/>
  <c r="L113" i="4" a="1"/>
  <c r="L113" i="4" s="1"/>
  <c r="L114" i="4" a="1"/>
  <c r="L114" i="4" s="1"/>
  <c r="L115" i="4" a="1"/>
  <c r="L115" i="4" s="1"/>
  <c r="L116" i="4" a="1"/>
  <c r="L116" i="4" s="1"/>
  <c r="L117" i="4" a="1"/>
  <c r="L117" i="4" s="1"/>
  <c r="L118" i="4" a="1"/>
  <c r="L118" i="4" s="1"/>
  <c r="L119" i="4" a="1"/>
  <c r="L119" i="4" s="1"/>
  <c r="L120" i="4" a="1"/>
  <c r="L120" i="4" s="1"/>
  <c r="L121" i="4" a="1"/>
  <c r="L121" i="4" s="1"/>
  <c r="L122" i="4" a="1"/>
  <c r="L122" i="4" s="1"/>
  <c r="L123" i="4" a="1"/>
  <c r="L123" i="4" s="1"/>
  <c r="L124" i="4" a="1"/>
  <c r="L124" i="4" s="1"/>
  <c r="L125" i="4" a="1"/>
  <c r="L125" i="4" s="1"/>
  <c r="L126" i="4" a="1"/>
  <c r="L126" i="4" s="1"/>
  <c r="L127" i="4" a="1"/>
  <c r="L127" i="4" s="1"/>
  <c r="L128" i="4" a="1"/>
  <c r="L128" i="4" s="1"/>
  <c r="L129" i="4" a="1"/>
  <c r="L129" i="4" s="1"/>
  <c r="L130" i="4" a="1"/>
  <c r="L130" i="4" s="1"/>
  <c r="L131" i="4" a="1"/>
  <c r="L131" i="4" s="1"/>
  <c r="L132" i="4" a="1"/>
  <c r="L132" i="4" s="1"/>
  <c r="L133" i="4" a="1"/>
  <c r="L133" i="4" s="1"/>
  <c r="L134" i="4" a="1"/>
  <c r="L134" i="4" s="1"/>
  <c r="L135" i="4" a="1"/>
  <c r="L135" i="4" s="1"/>
  <c r="L136" i="4" a="1"/>
  <c r="L136" i="4" s="1"/>
  <c r="L137" i="4" a="1"/>
  <c r="L137" i="4" s="1"/>
  <c r="L138" i="4" a="1"/>
  <c r="L138" i="4" s="1"/>
  <c r="L139" i="4" a="1"/>
  <c r="L139" i="4" s="1"/>
  <c r="L140" i="4" a="1"/>
  <c r="L140" i="4" s="1"/>
  <c r="L141" i="4" a="1"/>
  <c r="L141" i="4" s="1"/>
  <c r="L142" i="4" a="1"/>
  <c r="L142" i="4" s="1"/>
  <c r="L143" i="4" a="1"/>
  <c r="L143" i="4" s="1"/>
  <c r="L144" i="4" a="1"/>
  <c r="L144" i="4" s="1"/>
  <c r="L145" i="4" a="1"/>
  <c r="L145" i="4" s="1"/>
  <c r="L146" i="4" a="1"/>
  <c r="L146" i="4" s="1"/>
  <c r="L147" i="4" a="1"/>
  <c r="L147" i="4" s="1"/>
  <c r="L148" i="4" a="1"/>
  <c r="L148" i="4" s="1"/>
  <c r="L149" i="4" a="1"/>
  <c r="L149" i="4" s="1"/>
  <c r="L150" i="4" a="1"/>
  <c r="L150" i="4" s="1"/>
  <c r="L151" i="4" a="1"/>
  <c r="L151" i="4" s="1"/>
  <c r="L152" i="4" a="1"/>
  <c r="L152" i="4" s="1"/>
  <c r="L153" i="4" a="1"/>
  <c r="L153" i="4" s="1"/>
  <c r="L154" i="4" a="1"/>
  <c r="L154" i="4" s="1"/>
  <c r="L155" i="4" a="1"/>
  <c r="L155" i="4" s="1"/>
  <c r="L156" i="4" a="1"/>
  <c r="L156" i="4" s="1"/>
  <c r="L157" i="4" a="1"/>
  <c r="L157" i="4" s="1"/>
  <c r="L158" i="4" a="1"/>
  <c r="L158" i="4" s="1"/>
  <c r="L159" i="4" a="1"/>
  <c r="L159" i="4" s="1"/>
  <c r="L160" i="4" a="1"/>
  <c r="L160" i="4" s="1"/>
  <c r="L161" i="4" a="1"/>
  <c r="L161" i="4" s="1"/>
  <c r="L162" i="4" a="1"/>
  <c r="L162" i="4" s="1"/>
  <c r="L163" i="4" a="1"/>
  <c r="L163" i="4" s="1"/>
  <c r="L164" i="4" a="1"/>
  <c r="L164" i="4" s="1"/>
  <c r="L165" i="4" a="1"/>
  <c r="L165" i="4" s="1"/>
  <c r="L166" i="4" a="1"/>
  <c r="L166" i="4" s="1"/>
  <c r="L167" i="4" a="1"/>
  <c r="L167" i="4" s="1"/>
  <c r="L168" i="4" a="1"/>
  <c r="L168" i="4" s="1"/>
  <c r="L169" i="4" a="1"/>
  <c r="L169" i="4" s="1"/>
  <c r="L170" i="4" a="1"/>
  <c r="L170" i="4" s="1"/>
  <c r="L171" i="4" a="1"/>
  <c r="L171" i="4" s="1"/>
  <c r="L172" i="4" a="1"/>
  <c r="L172" i="4"/>
  <c r="L173" i="4" a="1"/>
  <c r="L173" i="4" s="1"/>
  <c r="L174" i="4" a="1"/>
  <c r="L174" i="4"/>
  <c r="L175" i="4" a="1"/>
  <c r="L175" i="4" s="1"/>
  <c r="L176" i="4" a="1"/>
  <c r="L176" i="4"/>
  <c r="L177" i="4" a="1"/>
  <c r="L177" i="4" s="1"/>
  <c r="L178" i="4" a="1"/>
  <c r="L178" i="4"/>
  <c r="L179" i="4" a="1"/>
  <c r="L179" i="4" s="1"/>
  <c r="L180" i="4" a="1"/>
  <c r="L180" i="4"/>
  <c r="L181" i="4" a="1"/>
  <c r="L181" i="4" s="1"/>
  <c r="L182" i="4" a="1"/>
  <c r="L182" i="4"/>
  <c r="L183" i="4" a="1"/>
  <c r="L183" i="4" s="1"/>
  <c r="L184" i="4" a="1"/>
  <c r="L184" i="4"/>
  <c r="L185" i="4" a="1"/>
  <c r="L185" i="4" s="1"/>
  <c r="L186" i="4" a="1"/>
  <c r="L186" i="4"/>
  <c r="L187" i="4" a="1"/>
  <c r="L187" i="4" s="1"/>
  <c r="D2" i="4" a="1"/>
  <c r="D2" i="4"/>
  <c r="C3" i="4" a="1"/>
  <c r="C3" i="4" s="1"/>
  <c r="C4" i="4" a="1"/>
  <c r="C4" i="4"/>
  <c r="C5" i="4" a="1"/>
  <c r="C5" i="4" s="1"/>
  <c r="C6" i="4" a="1"/>
  <c r="C6" i="4"/>
  <c r="C7" i="4" a="1"/>
  <c r="C7" i="4" s="1"/>
  <c r="C8" i="4" a="1"/>
  <c r="C8" i="4"/>
  <c r="C9" i="4" a="1"/>
  <c r="C9" i="4" s="1"/>
  <c r="C10" i="4" a="1"/>
  <c r="C10" i="4"/>
  <c r="C11" i="4" a="1"/>
  <c r="C11" i="4" s="1"/>
  <c r="C12" i="4" a="1"/>
  <c r="C12" i="4"/>
  <c r="C13" i="4" a="1"/>
  <c r="C13" i="4" s="1"/>
  <c r="C14" i="4" a="1"/>
  <c r="C14" i="4"/>
  <c r="C15" i="4" a="1"/>
  <c r="C15" i="4" s="1"/>
  <c r="C16" i="4" a="1"/>
  <c r="C16" i="4"/>
  <c r="C17" i="4" a="1"/>
  <c r="C17" i="4" s="1"/>
  <c r="C18" i="4" a="1"/>
  <c r="C18" i="4"/>
  <c r="C19" i="4" a="1"/>
  <c r="C19" i="4" s="1"/>
  <c r="C20" i="4" a="1"/>
  <c r="C20" i="4"/>
  <c r="C21" i="4" a="1"/>
  <c r="C21" i="4" s="1"/>
  <c r="C22" i="4" a="1"/>
  <c r="C22" i="4"/>
  <c r="C23" i="4" a="1"/>
  <c r="C23" i="4" s="1"/>
  <c r="C24" i="4" a="1"/>
  <c r="C24" i="4"/>
  <c r="C25" i="4" a="1"/>
  <c r="C25" i="4" s="1"/>
  <c r="C26" i="4" a="1"/>
  <c r="C26" i="4"/>
  <c r="C27" i="4" a="1"/>
  <c r="C27" i="4" s="1"/>
  <c r="C28" i="4" a="1"/>
  <c r="C28" i="4"/>
  <c r="C29" i="4" a="1"/>
  <c r="C29" i="4" s="1"/>
  <c r="C30" i="4" a="1"/>
  <c r="C30" i="4"/>
  <c r="C31" i="4" a="1"/>
  <c r="C31" i="4" s="1"/>
  <c r="C32" i="4" a="1"/>
  <c r="C32" i="4"/>
  <c r="C33" i="4" a="1"/>
  <c r="C33" i="4" s="1"/>
  <c r="C34" i="4" a="1"/>
  <c r="C34" i="4"/>
  <c r="C35" i="4" a="1"/>
  <c r="C35" i="4" s="1"/>
  <c r="C36" i="4" a="1"/>
  <c r="C36" i="4"/>
  <c r="C37" i="4" a="1"/>
  <c r="C37" i="4" s="1"/>
  <c r="C38" i="4" a="1"/>
  <c r="C38" i="4"/>
  <c r="C39" i="4" a="1"/>
  <c r="C39" i="4" s="1"/>
  <c r="C40" i="4" a="1"/>
  <c r="C40" i="4"/>
  <c r="C41" i="4" a="1"/>
  <c r="C41" i="4" s="1"/>
  <c r="C42" i="4" a="1"/>
  <c r="C42" i="4"/>
  <c r="C43" i="4" a="1"/>
  <c r="C43" i="4" s="1"/>
  <c r="C44" i="4" a="1"/>
  <c r="C44" i="4"/>
  <c r="C45" i="4" a="1"/>
  <c r="C45" i="4" s="1"/>
  <c r="C46" i="4" a="1"/>
  <c r="C46" i="4"/>
  <c r="C47" i="4" a="1"/>
  <c r="C47" i="4" s="1"/>
  <c r="C48" i="4" a="1"/>
  <c r="C48" i="4"/>
  <c r="C49" i="4" a="1"/>
  <c r="C49" i="4" s="1"/>
  <c r="C50" i="4" a="1"/>
  <c r="C50" i="4"/>
  <c r="C51" i="4" a="1"/>
  <c r="C51" i="4" s="1"/>
  <c r="C52" i="4" a="1"/>
  <c r="C52" i="4"/>
  <c r="C53" i="4" a="1"/>
  <c r="C53" i="4" s="1"/>
  <c r="C54" i="4" a="1"/>
  <c r="C54" i="4"/>
  <c r="C55" i="4" a="1"/>
  <c r="C55" i="4" s="1"/>
  <c r="C56" i="4" a="1"/>
  <c r="C56" i="4"/>
  <c r="C57" i="4" a="1"/>
  <c r="C57" i="4" s="1"/>
  <c r="C58" i="4" a="1"/>
  <c r="C58" i="4"/>
  <c r="C59" i="4" a="1"/>
  <c r="C59" i="4" s="1"/>
  <c r="C60" i="4" a="1"/>
  <c r="C60" i="4"/>
  <c r="C61" i="4" a="1"/>
  <c r="C61" i="4" s="1"/>
  <c r="C62" i="4" a="1"/>
  <c r="C62" i="4"/>
  <c r="C63" i="4" a="1"/>
  <c r="C63" i="4" s="1"/>
  <c r="C64" i="4" a="1"/>
  <c r="C64" i="4"/>
  <c r="C65" i="4" a="1"/>
  <c r="C65" i="4" s="1"/>
  <c r="C66" i="4" a="1"/>
  <c r="C66" i="4"/>
  <c r="C67" i="4" a="1"/>
  <c r="C67" i="4" s="1"/>
  <c r="C68" i="4" a="1"/>
  <c r="C68" i="4"/>
  <c r="C69" i="4" a="1"/>
  <c r="C69" i="4" s="1"/>
  <c r="C70" i="4" a="1"/>
  <c r="C70" i="4"/>
  <c r="C71" i="4" a="1"/>
  <c r="C71" i="4" s="1"/>
  <c r="C72" i="4" a="1"/>
  <c r="C72" i="4"/>
  <c r="C73" i="4" a="1"/>
  <c r="C73" i="4" s="1"/>
  <c r="C74" i="4" a="1"/>
  <c r="C74" i="4"/>
  <c r="C75" i="4" a="1"/>
  <c r="C75" i="4" s="1"/>
  <c r="C76" i="4" a="1"/>
  <c r="C76" i="4"/>
  <c r="C77" i="4" a="1"/>
  <c r="C77" i="4" s="1"/>
  <c r="C78" i="4" a="1"/>
  <c r="C78" i="4"/>
  <c r="C79" i="4" a="1"/>
  <c r="C79" i="4" s="1"/>
  <c r="C80" i="4" a="1"/>
  <c r="C80" i="4"/>
  <c r="C81" i="4" a="1"/>
  <c r="C81" i="4" s="1"/>
  <c r="C82" i="4" a="1"/>
  <c r="C82" i="4"/>
  <c r="C83" i="4" a="1"/>
  <c r="C83" i="4" s="1"/>
  <c r="C84" i="4" a="1"/>
  <c r="C84" i="4"/>
  <c r="C85" i="4" a="1"/>
  <c r="C85" i="4" s="1"/>
  <c r="C86" i="4" a="1"/>
  <c r="C86" i="4"/>
  <c r="C87" i="4" a="1"/>
  <c r="C87" i="4" s="1"/>
  <c r="C88" i="4" a="1"/>
  <c r="C88" i="4"/>
  <c r="C89" i="4" a="1"/>
  <c r="C89" i="4" s="1"/>
  <c r="C90" i="4" a="1"/>
  <c r="C90" i="4"/>
  <c r="C91" i="4" a="1"/>
  <c r="C91" i="4" s="1"/>
  <c r="C92" i="4" a="1"/>
  <c r="C92" i="4"/>
  <c r="C93" i="4" a="1"/>
  <c r="C93" i="4" s="1"/>
  <c r="C94" i="4" a="1"/>
  <c r="C94" i="4"/>
  <c r="C95" i="4" a="1"/>
  <c r="C95" i="4" s="1"/>
  <c r="C96" i="4" a="1"/>
  <c r="C96" i="4"/>
  <c r="C97" i="4" a="1"/>
  <c r="C97" i="4" s="1"/>
  <c r="C98" i="4" a="1"/>
  <c r="C98" i="4"/>
  <c r="C99" i="4" a="1"/>
  <c r="C99" i="4" s="1"/>
  <c r="C100" i="4" a="1"/>
  <c r="C100" i="4" s="1"/>
  <c r="C101" i="4" a="1"/>
  <c r="C101" i="4" s="1"/>
  <c r="C102" i="4" a="1"/>
  <c r="C102" i="4"/>
  <c r="C103" i="4" a="1"/>
  <c r="C103" i="4" s="1"/>
  <c r="C104" i="4" a="1"/>
  <c r="C104" i="4" s="1"/>
  <c r="C105" i="4" a="1"/>
  <c r="C105" i="4" s="1"/>
  <c r="C106" i="4" a="1"/>
  <c r="C106" i="4"/>
  <c r="C107" i="4" a="1"/>
  <c r="C107" i="4" s="1"/>
  <c r="C108" i="4" a="1"/>
  <c r="C108" i="4" s="1"/>
  <c r="C109" i="4" a="1"/>
  <c r="C109" i="4" s="1"/>
  <c r="C110" i="4" a="1"/>
  <c r="C110" i="4"/>
  <c r="C111" i="4" a="1"/>
  <c r="C111" i="4" s="1"/>
  <c r="C112" i="4" a="1"/>
  <c r="C112" i="4" s="1"/>
  <c r="C113" i="4" a="1"/>
  <c r="C113" i="4" s="1"/>
  <c r="C114" i="4" a="1"/>
  <c r="C114" i="4"/>
  <c r="C115" i="4" a="1"/>
  <c r="C115" i="4" s="1"/>
  <c r="C116" i="4" a="1"/>
  <c r="C116" i="4" s="1"/>
  <c r="C117" i="4" a="1"/>
  <c r="C117" i="4" s="1"/>
  <c r="C118" i="4" a="1"/>
  <c r="C118" i="4"/>
  <c r="C119" i="4" a="1"/>
  <c r="C119" i="4" s="1"/>
  <c r="C120" i="4" a="1"/>
  <c r="C120" i="4" s="1"/>
  <c r="C121" i="4" a="1"/>
  <c r="C121" i="4" s="1"/>
  <c r="C122" i="4" a="1"/>
  <c r="C122" i="4"/>
  <c r="C123" i="4" a="1"/>
  <c r="C123" i="4" s="1"/>
  <c r="C124" i="4" a="1"/>
  <c r="C124" i="4" s="1"/>
  <c r="C125" i="4" a="1"/>
  <c r="C125" i="4" s="1"/>
  <c r="C126" i="4" a="1"/>
  <c r="C126" i="4"/>
  <c r="C127" i="4" a="1"/>
  <c r="C127" i="4" s="1"/>
  <c r="C128" i="4" a="1"/>
  <c r="C128" i="4" s="1"/>
  <c r="C129" i="4" a="1"/>
  <c r="C129" i="4" s="1"/>
  <c r="C130" i="4" a="1"/>
  <c r="C130" i="4"/>
  <c r="C131" i="4" a="1"/>
  <c r="C131" i="4" s="1"/>
  <c r="C132" i="4" a="1"/>
  <c r="C132" i="4" s="1"/>
  <c r="C133" i="4" a="1"/>
  <c r="C133" i="4" s="1"/>
  <c r="C134" i="4" a="1"/>
  <c r="C134" i="4"/>
  <c r="C135" i="4" a="1"/>
  <c r="C135" i="4" s="1"/>
  <c r="C136" i="4" a="1"/>
  <c r="C136" i="4" s="1"/>
  <c r="C137" i="4" a="1"/>
  <c r="C137" i="4" s="1"/>
  <c r="C138" i="4" a="1"/>
  <c r="C138" i="4"/>
  <c r="C139" i="4" a="1"/>
  <c r="C139" i="4" s="1"/>
  <c r="C140" i="4" a="1"/>
  <c r="C140" i="4" s="1"/>
  <c r="C141" i="4" a="1"/>
  <c r="C141" i="4" s="1"/>
  <c r="C142" i="4" a="1"/>
  <c r="C142" i="4"/>
  <c r="C143" i="4" a="1"/>
  <c r="C143" i="4" s="1"/>
  <c r="C144" i="4" a="1"/>
  <c r="C144" i="4" s="1"/>
  <c r="C145" i="4" a="1"/>
  <c r="C145" i="4" s="1"/>
  <c r="C146" i="4" a="1"/>
  <c r="C146" i="4"/>
  <c r="C147" i="4" a="1"/>
  <c r="C147" i="4" s="1"/>
  <c r="C148" i="4" a="1"/>
  <c r="C148" i="4" s="1"/>
  <c r="C149" i="4" a="1"/>
  <c r="C149" i="4" s="1"/>
  <c r="C150" i="4" a="1"/>
  <c r="C150" i="4"/>
  <c r="C151" i="4" a="1"/>
  <c r="C151" i="4" s="1"/>
  <c r="C152" i="4" a="1"/>
  <c r="C152" i="4" s="1"/>
  <c r="C153" i="4" a="1"/>
  <c r="C153" i="4" s="1"/>
  <c r="C154" i="4" a="1"/>
  <c r="C154" i="4"/>
  <c r="C155" i="4" a="1"/>
  <c r="C155" i="4" s="1"/>
  <c r="C156" i="4" a="1"/>
  <c r="C156" i="4" s="1"/>
  <c r="C157" i="4" a="1"/>
  <c r="C157" i="4" s="1"/>
  <c r="C158" i="4" a="1"/>
  <c r="C158" i="4"/>
  <c r="C159" i="4" a="1"/>
  <c r="C159" i="4" s="1"/>
  <c r="C160" i="4" a="1"/>
  <c r="C160" i="4" s="1"/>
  <c r="C161" i="4" a="1"/>
  <c r="C161" i="4" s="1"/>
  <c r="C162" i="4" a="1"/>
  <c r="C162" i="4"/>
  <c r="C163" i="4" a="1"/>
  <c r="C163" i="4" s="1"/>
  <c r="C164" i="4" a="1"/>
  <c r="C164" i="4" s="1"/>
  <c r="C165" i="4" a="1"/>
  <c r="C165" i="4" s="1"/>
  <c r="C166" i="4" a="1"/>
  <c r="C166" i="4"/>
  <c r="C167" i="4" a="1"/>
  <c r="C167" i="4" s="1"/>
  <c r="C168" i="4" a="1"/>
  <c r="C168" i="4" s="1"/>
  <c r="C169" i="4" a="1"/>
  <c r="C169" i="4" s="1"/>
  <c r="C170" i="4" a="1"/>
  <c r="C170" i="4"/>
  <c r="C171" i="4" a="1"/>
  <c r="C171" i="4" s="1"/>
  <c r="C172" i="4" a="1"/>
  <c r="C172" i="4" s="1"/>
  <c r="C173" i="4" a="1"/>
  <c r="C173" i="4" s="1"/>
  <c r="C174" i="4" a="1"/>
  <c r="C174" i="4"/>
  <c r="C175" i="4" a="1"/>
  <c r="C175" i="4" s="1"/>
  <c r="C176" i="4" a="1"/>
  <c r="C176" i="4" s="1"/>
  <c r="C177" i="4" a="1"/>
  <c r="C177" i="4" s="1"/>
  <c r="C178" i="4" a="1"/>
  <c r="C178" i="4"/>
  <c r="C179" i="4" a="1"/>
  <c r="C179" i="4" s="1"/>
  <c r="C180" i="4" a="1"/>
  <c r="C180" i="4" s="1"/>
  <c r="C181" i="4" a="1"/>
  <c r="C181" i="4" s="1"/>
  <c r="C182" i="4" a="1"/>
  <c r="C182" i="4"/>
  <c r="C183" i="4" a="1"/>
  <c r="C183" i="4" s="1"/>
  <c r="C184" i="4" a="1"/>
  <c r="C184" i="4" s="1"/>
  <c r="C185" i="4" a="1"/>
  <c r="C185" i="4" s="1"/>
  <c r="C186" i="4" a="1"/>
  <c r="C186" i="4"/>
  <c r="C187" i="4" a="1"/>
  <c r="C187" i="4" s="1"/>
  <c r="C2" i="4" a="1"/>
  <c r="C2" i="4" s="1"/>
  <c r="F18" i="4" a="1"/>
  <c r="F18" i="4" s="1"/>
  <c r="F19" i="4" a="1"/>
  <c r="F19" i="4"/>
  <c r="F20" i="4" a="1"/>
  <c r="F20" i="4" s="1"/>
  <c r="F21" i="4" a="1"/>
  <c r="F21" i="4" s="1"/>
  <c r="F22" i="4" a="1"/>
  <c r="F22" i="4" s="1"/>
  <c r="F23" i="4" a="1"/>
  <c r="F23" i="4"/>
  <c r="F24" i="4" a="1"/>
  <c r="F24" i="4" s="1"/>
  <c r="F25" i="4" a="1"/>
  <c r="F25" i="4" s="1"/>
  <c r="F26" i="4" a="1"/>
  <c r="F26" i="4" s="1"/>
  <c r="F27" i="4" a="1"/>
  <c r="F27" i="4"/>
  <c r="F28" i="4" a="1"/>
  <c r="F28" i="4" s="1"/>
  <c r="F29" i="4" a="1"/>
  <c r="F29" i="4" s="1"/>
  <c r="F30" i="4" a="1"/>
  <c r="F30" i="4" s="1"/>
  <c r="F31" i="4" a="1"/>
  <c r="F31" i="4"/>
  <c r="F32" i="4" a="1"/>
  <c r="F32" i="4" s="1"/>
  <c r="F33" i="4" a="1"/>
  <c r="F33" i="4" s="1"/>
  <c r="F34" i="4" a="1"/>
  <c r="F34" i="4" s="1"/>
  <c r="F35" i="4" a="1"/>
  <c r="F35" i="4"/>
  <c r="F36" i="4" a="1"/>
  <c r="F36" i="4" s="1"/>
  <c r="F37" i="4" a="1"/>
  <c r="F37" i="4" s="1"/>
  <c r="F38" i="4" a="1"/>
  <c r="F38" i="4" s="1"/>
  <c r="F39" i="4" a="1"/>
  <c r="F39" i="4"/>
  <c r="F40" i="4" a="1"/>
  <c r="F40" i="4" s="1"/>
  <c r="F41" i="4" a="1"/>
  <c r="F41" i="4" s="1"/>
  <c r="F42" i="4" a="1"/>
  <c r="F42" i="4" s="1"/>
  <c r="F43" i="4" a="1"/>
  <c r="F43" i="4"/>
  <c r="F44" i="4" a="1"/>
  <c r="F44" i="4" s="1"/>
  <c r="F45" i="4" a="1"/>
  <c r="F45" i="4" s="1"/>
  <c r="F46" i="4" a="1"/>
  <c r="F46" i="4" s="1"/>
  <c r="F47" i="4" a="1"/>
  <c r="F47" i="4"/>
  <c r="F48" i="4" a="1"/>
  <c r="F48" i="4" s="1"/>
  <c r="F49" i="4" a="1"/>
  <c r="F49" i="4" s="1"/>
  <c r="F50" i="4" a="1"/>
  <c r="F50" i="4" s="1"/>
  <c r="F51" i="4" a="1"/>
  <c r="F51" i="4"/>
  <c r="F52" i="4" a="1"/>
  <c r="F52" i="4" s="1"/>
  <c r="F53" i="4" a="1"/>
  <c r="F53" i="4" s="1"/>
  <c r="F54" i="4" a="1"/>
  <c r="F54" i="4" s="1"/>
  <c r="F55" i="4" a="1"/>
  <c r="F55" i="4"/>
  <c r="F56" i="4" a="1"/>
  <c r="F56" i="4" s="1"/>
  <c r="F57" i="4" a="1"/>
  <c r="F57" i="4" s="1"/>
  <c r="F58" i="4" a="1"/>
  <c r="F58" i="4" s="1"/>
  <c r="F59" i="4" a="1"/>
  <c r="F59" i="4"/>
  <c r="F60" i="4" a="1"/>
  <c r="F60" i="4" s="1"/>
  <c r="F61" i="4" a="1"/>
  <c r="F61" i="4" s="1"/>
  <c r="F62" i="4" a="1"/>
  <c r="F62" i="4" s="1"/>
  <c r="F63" i="4" a="1"/>
  <c r="F63" i="4"/>
  <c r="F64" i="4" a="1"/>
  <c r="F64" i="4" s="1"/>
  <c r="F65" i="4" a="1"/>
  <c r="F65" i="4" s="1"/>
  <c r="F66" i="4" a="1"/>
  <c r="F66" i="4" s="1"/>
  <c r="F67" i="4" a="1"/>
  <c r="F67" i="4"/>
  <c r="F68" i="4" a="1"/>
  <c r="F68" i="4" s="1"/>
  <c r="F69" i="4" a="1"/>
  <c r="F69" i="4" s="1"/>
  <c r="F70" i="4" a="1"/>
  <c r="F70" i="4" s="1"/>
  <c r="F71" i="4" a="1"/>
  <c r="F71" i="4"/>
  <c r="F72" i="4" a="1"/>
  <c r="F72" i="4" s="1"/>
  <c r="F73" i="4" a="1"/>
  <c r="F73" i="4" s="1"/>
  <c r="F74" i="4" a="1"/>
  <c r="F74" i="4" s="1"/>
  <c r="F75" i="4" a="1"/>
  <c r="F75" i="4"/>
  <c r="F76" i="4" a="1"/>
  <c r="F76" i="4" s="1"/>
  <c r="F77" i="4" a="1"/>
  <c r="F77" i="4" s="1"/>
  <c r="F78" i="4" a="1"/>
  <c r="F78" i="4" s="1"/>
  <c r="F79" i="4" a="1"/>
  <c r="F79" i="4"/>
  <c r="F80" i="4" a="1"/>
  <c r="F80" i="4" s="1"/>
  <c r="F81" i="4" a="1"/>
  <c r="F81" i="4" s="1"/>
  <c r="F82" i="4" a="1"/>
  <c r="F82" i="4" s="1"/>
  <c r="F83" i="4" a="1"/>
  <c r="F83" i="4"/>
  <c r="F84" i="4" a="1"/>
  <c r="F84" i="4" s="1"/>
  <c r="F85" i="4" a="1"/>
  <c r="F85" i="4" s="1"/>
  <c r="F86" i="4" a="1"/>
  <c r="F86" i="4" s="1"/>
  <c r="F87" i="4" a="1"/>
  <c r="F87" i="4"/>
  <c r="F88" i="4" a="1"/>
  <c r="F88" i="4" s="1"/>
  <c r="F89" i="4" a="1"/>
  <c r="F89" i="4" s="1"/>
  <c r="F90" i="4" a="1"/>
  <c r="F90" i="4" s="1"/>
  <c r="F91" i="4" a="1"/>
  <c r="F91" i="4"/>
  <c r="F92" i="4" a="1"/>
  <c r="F92" i="4" s="1"/>
  <c r="F93" i="4" a="1"/>
  <c r="F93" i="4" s="1"/>
  <c r="F94" i="4" a="1"/>
  <c r="F94" i="4" s="1"/>
  <c r="F95" i="4" a="1"/>
  <c r="F95" i="4"/>
  <c r="F96" i="4" a="1"/>
  <c r="F96" i="4" s="1"/>
  <c r="F97" i="4" a="1"/>
  <c r="F97" i="4" s="1"/>
  <c r="F98" i="4" a="1"/>
  <c r="F98" i="4" s="1"/>
  <c r="F99" i="4" a="1"/>
  <c r="F99" i="4"/>
  <c r="F100" i="4" a="1"/>
  <c r="F100" i="4" s="1"/>
  <c r="F101" i="4" a="1"/>
  <c r="F101" i="4" s="1"/>
  <c r="F102" i="4" a="1"/>
  <c r="F102" i="4" s="1"/>
  <c r="F103" i="4" a="1"/>
  <c r="F103" i="4"/>
  <c r="F104" i="4" a="1"/>
  <c r="F104" i="4" s="1"/>
  <c r="F105" i="4" a="1"/>
  <c r="F105" i="4" s="1"/>
  <c r="F106" i="4" a="1"/>
  <c r="F106" i="4" s="1"/>
  <c r="F107" i="4" a="1"/>
  <c r="F107" i="4"/>
  <c r="F108" i="4" a="1"/>
  <c r="F108" i="4" s="1"/>
  <c r="F109" i="4" a="1"/>
  <c r="F109" i="4" s="1"/>
  <c r="F110" i="4" a="1"/>
  <c r="F110" i="4" s="1"/>
  <c r="F111" i="4" a="1"/>
  <c r="F111" i="4"/>
  <c r="F112" i="4" a="1"/>
  <c r="F112" i="4" s="1"/>
  <c r="F113" i="4" a="1"/>
  <c r="F113" i="4" s="1"/>
  <c r="F114" i="4" a="1"/>
  <c r="F114" i="4" s="1"/>
  <c r="F115" i="4" a="1"/>
  <c r="F115" i="4"/>
  <c r="F116" i="4" a="1"/>
  <c r="F116" i="4" s="1"/>
  <c r="F117" i="4" a="1"/>
  <c r="F117" i="4" s="1"/>
  <c r="F118" i="4" a="1"/>
  <c r="F118" i="4" s="1"/>
  <c r="F119" i="4" a="1"/>
  <c r="F119" i="4"/>
  <c r="F120" i="4" a="1"/>
  <c r="F120" i="4" s="1"/>
  <c r="F121" i="4" a="1"/>
  <c r="F121" i="4" s="1"/>
  <c r="F122" i="4" a="1"/>
  <c r="F122" i="4" s="1"/>
  <c r="F123" i="4" a="1"/>
  <c r="F123" i="4"/>
  <c r="F124" i="4" a="1"/>
  <c r="F124" i="4" s="1"/>
  <c r="F125" i="4" a="1"/>
  <c r="F125" i="4" s="1"/>
  <c r="F126" i="4" a="1"/>
  <c r="F126" i="4" s="1"/>
  <c r="F127" i="4" a="1"/>
  <c r="F127" i="4"/>
  <c r="F128" i="4" a="1"/>
  <c r="F128" i="4" s="1"/>
  <c r="F129" i="4" a="1"/>
  <c r="F129" i="4" s="1"/>
  <c r="F130" i="4" a="1"/>
  <c r="F130" i="4" s="1"/>
  <c r="F131" i="4" a="1"/>
  <c r="F131" i="4"/>
  <c r="F132" i="4" a="1"/>
  <c r="F132" i="4" s="1"/>
  <c r="F133" i="4" a="1"/>
  <c r="F133" i="4" s="1"/>
  <c r="F134" i="4" a="1"/>
  <c r="F134" i="4" s="1"/>
  <c r="F135" i="4" a="1"/>
  <c r="F135" i="4"/>
  <c r="F136" i="4" a="1"/>
  <c r="F136" i="4" s="1"/>
  <c r="F137" i="4" a="1"/>
  <c r="F137" i="4" s="1"/>
  <c r="F138" i="4" a="1"/>
  <c r="F138" i="4" s="1"/>
  <c r="F139" i="4" a="1"/>
  <c r="F139" i="4"/>
  <c r="F140" i="4" a="1"/>
  <c r="F140" i="4" s="1"/>
  <c r="F141" i="4" a="1"/>
  <c r="F141" i="4" s="1"/>
  <c r="F142" i="4" a="1"/>
  <c r="F142" i="4" s="1"/>
  <c r="F143" i="4" a="1"/>
  <c r="F143" i="4"/>
  <c r="F144" i="4" a="1"/>
  <c r="F144" i="4" s="1"/>
  <c r="F145" i="4" a="1"/>
  <c r="F145" i="4" s="1"/>
  <c r="F146" i="4" a="1"/>
  <c r="F146" i="4" s="1"/>
  <c r="F147" i="4" a="1"/>
  <c r="F147" i="4"/>
  <c r="F148" i="4" a="1"/>
  <c r="F148" i="4" s="1"/>
  <c r="F149" i="4" a="1"/>
  <c r="F149" i="4" s="1"/>
  <c r="F150" i="4" a="1"/>
  <c r="F150" i="4" s="1"/>
  <c r="F151" i="4" a="1"/>
  <c r="F151" i="4"/>
  <c r="F152" i="4" a="1"/>
  <c r="F152" i="4" s="1"/>
  <c r="F153" i="4" a="1"/>
  <c r="F153" i="4" s="1"/>
  <c r="F154" i="4" a="1"/>
  <c r="F154" i="4" s="1"/>
  <c r="F155" i="4" a="1"/>
  <c r="F155" i="4"/>
  <c r="F156" i="4" a="1"/>
  <c r="F156" i="4"/>
  <c r="F157" i="4" a="1"/>
  <c r="F157" i="4"/>
  <c r="F158" i="4" a="1"/>
  <c r="F158" i="4"/>
  <c r="F159" i="4" a="1"/>
  <c r="F159" i="4"/>
  <c r="F160" i="4" a="1"/>
  <c r="F160" i="4"/>
  <c r="F161" i="4" a="1"/>
  <c r="F161" i="4"/>
  <c r="F162" i="4" a="1"/>
  <c r="F162" i="4"/>
  <c r="F163" i="4" a="1"/>
  <c r="F163" i="4"/>
  <c r="F164" i="4" a="1"/>
  <c r="F164" i="4"/>
  <c r="F165" i="4" a="1"/>
  <c r="F165" i="4"/>
  <c r="F166" i="4" a="1"/>
  <c r="F166" i="4"/>
  <c r="F167" i="4" a="1"/>
  <c r="F167" i="4"/>
  <c r="F168" i="4" a="1"/>
  <c r="F168" i="4"/>
  <c r="F169" i="4" a="1"/>
  <c r="F169" i="4"/>
  <c r="F170" i="4" a="1"/>
  <c r="F170" i="4"/>
  <c r="F171" i="4" a="1"/>
  <c r="F171" i="4"/>
  <c r="F172" i="4" a="1"/>
  <c r="F172" i="4"/>
  <c r="F173" i="4" a="1"/>
  <c r="F173" i="4"/>
  <c r="F174" i="4" a="1"/>
  <c r="F174" i="4"/>
  <c r="F175" i="4" a="1"/>
  <c r="F175" i="4"/>
  <c r="F176" i="4" a="1"/>
  <c r="F176" i="4"/>
  <c r="F177" i="4" a="1"/>
  <c r="F177" i="4"/>
  <c r="F178" i="4" a="1"/>
  <c r="F178" i="4"/>
  <c r="F179" i="4" a="1"/>
  <c r="F179" i="4"/>
  <c r="F180" i="4" a="1"/>
  <c r="F180" i="4"/>
  <c r="F181" i="4" a="1"/>
  <c r="F181" i="4"/>
  <c r="F182" i="4" a="1"/>
  <c r="F182" i="4"/>
  <c r="F183" i="4" a="1"/>
  <c r="F183" i="4"/>
  <c r="F184" i="4" a="1"/>
  <c r="F184" i="4"/>
  <c r="F185" i="4" a="1"/>
  <c r="F185" i="4"/>
  <c r="F186" i="4" a="1"/>
  <c r="F186" i="4"/>
  <c r="F187" i="4" a="1"/>
  <c r="F187" i="4"/>
  <c r="F3" i="4" a="1"/>
  <c r="F3" i="4"/>
  <c r="F4" i="4" a="1"/>
  <c r="F4" i="4"/>
  <c r="F5" i="4" a="1"/>
  <c r="F5" i="4"/>
  <c r="F6" i="4" a="1"/>
  <c r="F6" i="4"/>
  <c r="F7" i="4" a="1"/>
  <c r="F7" i="4"/>
  <c r="F8" i="4" a="1"/>
  <c r="F8" i="4"/>
  <c r="F9" i="4" a="1"/>
  <c r="F9" i="4"/>
  <c r="F10" i="4" a="1"/>
  <c r="F10" i="4"/>
  <c r="F11" i="4" a="1"/>
  <c r="F11" i="4"/>
  <c r="F12" i="4" a="1"/>
  <c r="F12" i="4"/>
  <c r="F13" i="4" a="1"/>
  <c r="F13" i="4"/>
  <c r="F14" i="4" a="1"/>
  <c r="F14" i="4"/>
  <c r="F15" i="4" a="1"/>
  <c r="F15" i="4"/>
  <c r="F16" i="4" a="1"/>
  <c r="F16" i="4"/>
  <c r="F17" i="4" a="1"/>
  <c r="F17" i="4"/>
  <c r="F2" i="4" a="1"/>
  <c r="F2" i="4"/>
  <c r="A188" i="3" a="1"/>
  <c r="A188" i="3"/>
  <c r="L312" i="4" s="1" a="1"/>
  <c r="L312" i="4" s="1"/>
  <c r="D10" i="4" a="1"/>
  <c r="D10" i="4"/>
  <c r="D11" i="4" a="1"/>
  <c r="D11" i="4" s="1"/>
  <c r="D12" i="4" a="1"/>
  <c r="D12" i="4"/>
  <c r="D13" i="4" a="1"/>
  <c r="D13" i="4" s="1"/>
  <c r="D14" i="4" a="1"/>
  <c r="D14" i="4"/>
  <c r="D15" i="4" a="1"/>
  <c r="D15" i="4" s="1"/>
  <c r="D16" i="4" a="1"/>
  <c r="D16" i="4"/>
  <c r="D17" i="4" a="1"/>
  <c r="D17" i="4" s="1"/>
  <c r="D18" i="4" a="1"/>
  <c r="D18" i="4"/>
  <c r="D19" i="4" a="1"/>
  <c r="D19" i="4" s="1"/>
  <c r="D20" i="4" a="1"/>
  <c r="D20" i="4"/>
  <c r="D21" i="4" a="1"/>
  <c r="D21" i="4" s="1"/>
  <c r="D22" i="4" a="1"/>
  <c r="D22" i="4"/>
  <c r="D23" i="4" a="1"/>
  <c r="D23" i="4" s="1"/>
  <c r="D24" i="4" a="1"/>
  <c r="D24" i="4"/>
  <c r="D25" i="4" a="1"/>
  <c r="D25" i="4" s="1"/>
  <c r="D26" i="4" a="1"/>
  <c r="D26" i="4"/>
  <c r="D27" i="4" a="1"/>
  <c r="D27" i="4" s="1"/>
  <c r="D28" i="4" a="1"/>
  <c r="D28" i="4"/>
  <c r="D29" i="4" a="1"/>
  <c r="D29" i="4" s="1"/>
  <c r="D30" i="4" a="1"/>
  <c r="D30" i="4"/>
  <c r="D31" i="4" a="1"/>
  <c r="D31" i="4" s="1"/>
  <c r="D32" i="4" a="1"/>
  <c r="D32" i="4"/>
  <c r="D33" i="4" a="1"/>
  <c r="D33" i="4" s="1"/>
  <c r="D34" i="4" a="1"/>
  <c r="D34" i="4"/>
  <c r="D35" i="4" a="1"/>
  <c r="D35" i="4" s="1"/>
  <c r="D36" i="4" a="1"/>
  <c r="D36" i="4"/>
  <c r="D37" i="4" a="1"/>
  <c r="D37" i="4" s="1"/>
  <c r="D38" i="4" a="1"/>
  <c r="D38" i="4"/>
  <c r="D39" i="4" a="1"/>
  <c r="D39" i="4" s="1"/>
  <c r="D40" i="4" a="1"/>
  <c r="D40" i="4"/>
  <c r="D41" i="4" a="1"/>
  <c r="D41" i="4" s="1"/>
  <c r="D42" i="4" a="1"/>
  <c r="D42" i="4"/>
  <c r="D43" i="4" a="1"/>
  <c r="D43" i="4" s="1"/>
  <c r="D44" i="4" a="1"/>
  <c r="D44" i="4"/>
  <c r="D45" i="4" a="1"/>
  <c r="D45" i="4" s="1"/>
  <c r="D46" i="4" a="1"/>
  <c r="D46" i="4"/>
  <c r="D47" i="4" a="1"/>
  <c r="D47" i="4" s="1"/>
  <c r="D48" i="4" a="1"/>
  <c r="D48" i="4"/>
  <c r="D49" i="4" a="1"/>
  <c r="D49" i="4" s="1"/>
  <c r="D50" i="4" a="1"/>
  <c r="D50" i="4"/>
  <c r="D51" i="4" a="1"/>
  <c r="D51" i="4" s="1"/>
  <c r="D52" i="4" a="1"/>
  <c r="D52" i="4"/>
  <c r="D53" i="4" a="1"/>
  <c r="D53" i="4" s="1"/>
  <c r="D54" i="4" a="1"/>
  <c r="D54" i="4"/>
  <c r="D55" i="4" a="1"/>
  <c r="D55" i="4" s="1"/>
  <c r="D56" i="4" a="1"/>
  <c r="D56" i="4"/>
  <c r="D57" i="4" a="1"/>
  <c r="D57" i="4" s="1"/>
  <c r="D58" i="4" a="1"/>
  <c r="D58" i="4"/>
  <c r="D59" i="4" a="1"/>
  <c r="D59" i="4" s="1"/>
  <c r="D60" i="4" a="1"/>
  <c r="D60" i="4"/>
  <c r="D61" i="4" a="1"/>
  <c r="D61" i="4" s="1"/>
  <c r="D62" i="4" a="1"/>
  <c r="D62" i="4"/>
  <c r="D63" i="4" a="1"/>
  <c r="D63" i="4" s="1"/>
  <c r="D64" i="4" a="1"/>
  <c r="D64" i="4"/>
  <c r="D65" i="4" a="1"/>
  <c r="D65" i="4" s="1"/>
  <c r="D66" i="4" a="1"/>
  <c r="D66" i="4"/>
  <c r="D67" i="4" a="1"/>
  <c r="D67" i="4" s="1"/>
  <c r="D68" i="4" a="1"/>
  <c r="D68" i="4"/>
  <c r="D69" i="4" a="1"/>
  <c r="D69" i="4" s="1"/>
  <c r="D70" i="4" a="1"/>
  <c r="D70" i="4"/>
  <c r="D71" i="4" a="1"/>
  <c r="D71" i="4" s="1"/>
  <c r="D72" i="4" a="1"/>
  <c r="D72" i="4"/>
  <c r="D73" i="4" a="1"/>
  <c r="D73" i="4" s="1"/>
  <c r="D74" i="4" a="1"/>
  <c r="D74" i="4"/>
  <c r="D75" i="4" a="1"/>
  <c r="D75" i="4" s="1"/>
  <c r="D76" i="4" a="1"/>
  <c r="D76" i="4"/>
  <c r="D77" i="4" a="1"/>
  <c r="D77" i="4" s="1"/>
  <c r="D78" i="4" a="1"/>
  <c r="D78" i="4"/>
  <c r="D79" i="4" a="1"/>
  <c r="D79" i="4" s="1"/>
  <c r="D80" i="4" a="1"/>
  <c r="D80" i="4"/>
  <c r="D81" i="4" a="1"/>
  <c r="D81" i="4" s="1"/>
  <c r="D82" i="4" a="1"/>
  <c r="D82" i="4"/>
  <c r="D83" i="4" a="1"/>
  <c r="D83" i="4" s="1"/>
  <c r="D84" i="4" a="1"/>
  <c r="D84" i="4"/>
  <c r="D85" i="4" a="1"/>
  <c r="D85" i="4" s="1"/>
  <c r="D86" i="4" a="1"/>
  <c r="D86" i="4"/>
  <c r="D87" i="4" a="1"/>
  <c r="D87" i="4" s="1"/>
  <c r="D88" i="4" a="1"/>
  <c r="D88" i="4"/>
  <c r="D89" i="4" a="1"/>
  <c r="D89" i="4" s="1"/>
  <c r="D90" i="4" a="1"/>
  <c r="D90" i="4"/>
  <c r="D91" i="4" a="1"/>
  <c r="D91" i="4" s="1"/>
  <c r="D92" i="4" a="1"/>
  <c r="D92" i="4"/>
  <c r="D93" i="4" a="1"/>
  <c r="D93" i="4" s="1"/>
  <c r="D94" i="4" a="1"/>
  <c r="D94" i="4"/>
  <c r="D95" i="4" a="1"/>
  <c r="D95" i="4" s="1"/>
  <c r="D96" i="4" a="1"/>
  <c r="D96" i="4"/>
  <c r="D97" i="4" a="1"/>
  <c r="D97" i="4" s="1"/>
  <c r="D98" i="4" a="1"/>
  <c r="D98" i="4"/>
  <c r="D99" i="4" a="1"/>
  <c r="D99" i="4" s="1"/>
  <c r="D100" i="4" a="1"/>
  <c r="D100" i="4"/>
  <c r="D101" i="4" a="1"/>
  <c r="D101" i="4" s="1"/>
  <c r="D102" i="4" a="1"/>
  <c r="D102" i="4"/>
  <c r="D103" i="4" a="1"/>
  <c r="D103" i="4" s="1"/>
  <c r="D104" i="4" a="1"/>
  <c r="D104" i="4"/>
  <c r="D105" i="4" a="1"/>
  <c r="D105" i="4" s="1"/>
  <c r="D106" i="4" a="1"/>
  <c r="D106" i="4"/>
  <c r="D107" i="4" a="1"/>
  <c r="D107" i="4" s="1"/>
  <c r="D108" i="4" a="1"/>
  <c r="D108" i="4"/>
  <c r="D109" i="4" a="1"/>
  <c r="D109" i="4" s="1"/>
  <c r="D110" i="4" a="1"/>
  <c r="D110" i="4"/>
  <c r="D111" i="4" a="1"/>
  <c r="D111" i="4" s="1"/>
  <c r="D112" i="4" a="1"/>
  <c r="D112" i="4"/>
  <c r="D113" i="4" a="1"/>
  <c r="D113" i="4" s="1"/>
  <c r="D114" i="4" a="1"/>
  <c r="D114" i="4"/>
  <c r="D115" i="4" a="1"/>
  <c r="D115" i="4" s="1"/>
  <c r="D116" i="4" a="1"/>
  <c r="D116" i="4"/>
  <c r="D117" i="4" a="1"/>
  <c r="D117" i="4" s="1"/>
  <c r="D118" i="4" a="1"/>
  <c r="D118" i="4"/>
  <c r="D119" i="4" a="1"/>
  <c r="D119" i="4" s="1"/>
  <c r="D120" i="4" a="1"/>
  <c r="D120" i="4"/>
  <c r="D121" i="4" a="1"/>
  <c r="D121" i="4" s="1"/>
  <c r="D122" i="4" a="1"/>
  <c r="D122" i="4"/>
  <c r="D123" i="4" a="1"/>
  <c r="D123" i="4" s="1"/>
  <c r="D124" i="4" a="1"/>
  <c r="D124" i="4"/>
  <c r="D125" i="4" a="1"/>
  <c r="D125" i="4" s="1"/>
  <c r="D126" i="4" a="1"/>
  <c r="D126" i="4"/>
  <c r="D127" i="4" a="1"/>
  <c r="D127" i="4" s="1"/>
  <c r="D128" i="4" a="1"/>
  <c r="D128" i="4"/>
  <c r="D129" i="4" a="1"/>
  <c r="D129" i="4" s="1"/>
  <c r="D130" i="4" a="1"/>
  <c r="D130" i="4"/>
  <c r="D131" i="4" a="1"/>
  <c r="D131" i="4" s="1"/>
  <c r="D132" i="4" a="1"/>
  <c r="D132" i="4"/>
  <c r="D133" i="4" a="1"/>
  <c r="D133" i="4" s="1"/>
  <c r="D134" i="4" a="1"/>
  <c r="D134" i="4"/>
  <c r="D135" i="4" a="1"/>
  <c r="D135" i="4" s="1"/>
  <c r="D136" i="4" a="1"/>
  <c r="D136" i="4"/>
  <c r="D137" i="4" a="1"/>
  <c r="D137" i="4" s="1"/>
  <c r="D138" i="4" a="1"/>
  <c r="D138" i="4"/>
  <c r="D139" i="4" a="1"/>
  <c r="D139" i="4" s="1"/>
  <c r="D140" i="4" a="1"/>
  <c r="D140" i="4"/>
  <c r="D141" i="4" a="1"/>
  <c r="D141" i="4" s="1"/>
  <c r="D142" i="4" a="1"/>
  <c r="D142" i="4"/>
  <c r="D143" i="4" a="1"/>
  <c r="D143" i="4" s="1"/>
  <c r="D144" i="4" a="1"/>
  <c r="D144" i="4"/>
  <c r="D145" i="4" a="1"/>
  <c r="D145" i="4" s="1"/>
  <c r="D146" i="4" a="1"/>
  <c r="D146" i="4"/>
  <c r="D147" i="4" a="1"/>
  <c r="D147" i="4" s="1"/>
  <c r="D148" i="4" a="1"/>
  <c r="D148" i="4"/>
  <c r="D149" i="4" a="1"/>
  <c r="D149" i="4" s="1"/>
  <c r="D150" i="4" a="1"/>
  <c r="D150" i="4"/>
  <c r="D151" i="4" a="1"/>
  <c r="D151" i="4" s="1"/>
  <c r="D152" i="4" a="1"/>
  <c r="D152" i="4"/>
  <c r="D153" i="4" a="1"/>
  <c r="D153" i="4" s="1"/>
  <c r="D154" i="4" a="1"/>
  <c r="D154" i="4"/>
  <c r="D155" i="4" a="1"/>
  <c r="D155" i="4" s="1"/>
  <c r="D156" i="4" a="1"/>
  <c r="D156" i="4"/>
  <c r="D157" i="4" a="1"/>
  <c r="D157" i="4" s="1"/>
  <c r="D158" i="4" a="1"/>
  <c r="D158" i="4"/>
  <c r="D159" i="4" a="1"/>
  <c r="D159" i="4" s="1"/>
  <c r="D160" i="4" a="1"/>
  <c r="D160" i="4"/>
  <c r="D161" i="4" a="1"/>
  <c r="D161" i="4" s="1"/>
  <c r="D162" i="4" a="1"/>
  <c r="D162" i="4"/>
  <c r="D163" i="4" a="1"/>
  <c r="D163" i="4" s="1"/>
  <c r="D164" i="4" a="1"/>
  <c r="D164" i="4"/>
  <c r="D165" i="4" a="1"/>
  <c r="D165" i="4" s="1"/>
  <c r="D166" i="4" a="1"/>
  <c r="D166" i="4"/>
  <c r="D167" i="4" a="1"/>
  <c r="D167" i="4" s="1"/>
  <c r="D168" i="4" a="1"/>
  <c r="D168" i="4"/>
  <c r="D169" i="4" a="1"/>
  <c r="D169" i="4" s="1"/>
  <c r="D170" i="4" a="1"/>
  <c r="D170" i="4"/>
  <c r="D171" i="4" a="1"/>
  <c r="D171" i="4" s="1"/>
  <c r="D172" i="4" a="1"/>
  <c r="D172" i="4"/>
  <c r="D173" i="4" a="1"/>
  <c r="D173" i="4" s="1"/>
  <c r="D174" i="4" a="1"/>
  <c r="D174" i="4"/>
  <c r="D175" i="4" a="1"/>
  <c r="D175" i="4" s="1"/>
  <c r="D176" i="4" a="1"/>
  <c r="D176" i="4"/>
  <c r="D177" i="4" a="1"/>
  <c r="D177" i="4" s="1"/>
  <c r="D178" i="4" a="1"/>
  <c r="D178" i="4"/>
  <c r="D179" i="4" a="1"/>
  <c r="D179" i="4" s="1"/>
  <c r="D180" i="4" a="1"/>
  <c r="D180" i="4" s="1"/>
  <c r="D181" i="4" a="1"/>
  <c r="D181" i="4" s="1"/>
  <c r="D182" i="4" a="1"/>
  <c r="D182" i="4" s="1"/>
  <c r="D183" i="4" a="1"/>
  <c r="D183" i="4" s="1"/>
  <c r="D184" i="4" a="1"/>
  <c r="D184" i="4" s="1"/>
  <c r="D185" i="4" a="1"/>
  <c r="D185" i="4" s="1"/>
  <c r="D186" i="4" a="1"/>
  <c r="D186" i="4" s="1"/>
  <c r="D187" i="4" a="1"/>
  <c r="D187" i="4" s="1"/>
  <c r="D188" i="4" a="1"/>
  <c r="D188" i="4" s="1"/>
  <c r="D189" i="4" a="1"/>
  <c r="D189" i="4" s="1"/>
  <c r="D190" i="4" a="1"/>
  <c r="D190" i="4" s="1"/>
  <c r="D191" i="4" a="1"/>
  <c r="D191" i="4" s="1"/>
  <c r="D192" i="4" a="1"/>
  <c r="D192" i="4" s="1"/>
  <c r="D193" i="4" a="1"/>
  <c r="D193" i="4" s="1"/>
  <c r="D194" i="4" a="1"/>
  <c r="D194" i="4" s="1"/>
  <c r="D195" i="4" a="1"/>
  <c r="D195" i="4" s="1"/>
  <c r="D196" i="4" a="1"/>
  <c r="D196" i="4" s="1"/>
  <c r="D197" i="4" a="1"/>
  <c r="D197" i="4" s="1"/>
  <c r="D198" i="4" a="1"/>
  <c r="D198" i="4" s="1"/>
  <c r="D199" i="4" a="1"/>
  <c r="D199" i="4" s="1"/>
  <c r="D200" i="4" a="1"/>
  <c r="D200" i="4" s="1"/>
  <c r="D201" i="4" a="1"/>
  <c r="D201" i="4" s="1"/>
  <c r="D202" i="4" a="1"/>
  <c r="D202" i="4" s="1"/>
  <c r="D203" i="4" a="1"/>
  <c r="D203" i="4" s="1"/>
  <c r="D204" i="4" a="1"/>
  <c r="D204" i="4" s="1"/>
  <c r="D205" i="4" a="1"/>
  <c r="D205" i="4" s="1"/>
  <c r="D206" i="4" a="1"/>
  <c r="D206" i="4" s="1"/>
  <c r="D207" i="4" a="1"/>
  <c r="D207" i="4" s="1"/>
  <c r="D208" i="4" a="1"/>
  <c r="D208" i="4" s="1"/>
  <c r="D209" i="4" a="1"/>
  <c r="D209" i="4" s="1"/>
  <c r="D210" i="4" a="1"/>
  <c r="D210" i="4" s="1"/>
  <c r="D211" i="4" a="1"/>
  <c r="D211" i="4" s="1"/>
  <c r="D212" i="4" a="1"/>
  <c r="D212" i="4" s="1"/>
  <c r="D213" i="4" a="1"/>
  <c r="D213" i="4" s="1"/>
  <c r="D214" i="4" a="1"/>
  <c r="D214" i="4" s="1"/>
  <c r="D215" i="4" a="1"/>
  <c r="D215" i="4" s="1"/>
  <c r="D216" i="4" a="1"/>
  <c r="D216" i="4" s="1"/>
  <c r="D217" i="4" a="1"/>
  <c r="D217" i="4" s="1"/>
  <c r="D218" i="4" a="1"/>
  <c r="D218" i="4" s="1"/>
  <c r="D219" i="4" a="1"/>
  <c r="D219" i="4" s="1"/>
  <c r="D220" i="4" a="1"/>
  <c r="D220" i="4" s="1"/>
  <c r="D221" i="4" a="1"/>
  <c r="D221" i="4" s="1"/>
  <c r="D222" i="4" a="1"/>
  <c r="D222" i="4" s="1"/>
  <c r="D223" i="4" a="1"/>
  <c r="D223" i="4" s="1"/>
  <c r="D224" i="4" a="1"/>
  <c r="D224" i="4" s="1"/>
  <c r="D225" i="4" a="1"/>
  <c r="D225" i="4" s="1"/>
  <c r="D226" i="4" a="1"/>
  <c r="D226" i="4" s="1"/>
  <c r="D227" i="4" a="1"/>
  <c r="D227" i="4" s="1"/>
  <c r="D228" i="4" a="1"/>
  <c r="D228" i="4" s="1"/>
  <c r="D229" i="4" a="1"/>
  <c r="D229" i="4" s="1"/>
  <c r="D230" i="4" a="1"/>
  <c r="D230" i="4" s="1"/>
  <c r="D231" i="4" a="1"/>
  <c r="D231" i="4" s="1"/>
  <c r="D232" i="4" a="1"/>
  <c r="D232" i="4" s="1"/>
  <c r="D233" i="4" a="1"/>
  <c r="D233" i="4" s="1"/>
  <c r="D234" i="4" a="1"/>
  <c r="D234" i="4" s="1"/>
  <c r="D235" i="4" a="1"/>
  <c r="D235" i="4" s="1"/>
  <c r="D236" i="4" a="1"/>
  <c r="D236" i="4" s="1"/>
  <c r="D237" i="4" a="1"/>
  <c r="D237" i="4" s="1"/>
  <c r="D238" i="4" a="1"/>
  <c r="D238" i="4" s="1"/>
  <c r="D239" i="4" a="1"/>
  <c r="D239" i="4" s="1"/>
  <c r="D240" i="4" a="1"/>
  <c r="D240" i="4" s="1"/>
  <c r="D241" i="4" a="1"/>
  <c r="D241" i="4" s="1"/>
  <c r="D242" i="4" a="1"/>
  <c r="D242" i="4" s="1"/>
  <c r="D243" i="4" a="1"/>
  <c r="D243" i="4" s="1"/>
  <c r="D244" i="4" a="1"/>
  <c r="D244" i="4" s="1"/>
  <c r="D245" i="4" a="1"/>
  <c r="D245" i="4" s="1"/>
  <c r="D246" i="4" a="1"/>
  <c r="D246" i="4" s="1"/>
  <c r="D247" i="4" a="1"/>
  <c r="D247" i="4" s="1"/>
  <c r="D248" i="4" a="1"/>
  <c r="D248" i="4" s="1"/>
  <c r="D249" i="4" a="1"/>
  <c r="D249" i="4" s="1"/>
  <c r="D250" i="4" a="1"/>
  <c r="D250" i="4" s="1"/>
  <c r="D251" i="4" a="1"/>
  <c r="D251" i="4" s="1"/>
  <c r="D252" i="4" a="1"/>
  <c r="D252" i="4" s="1"/>
  <c r="D253" i="4" a="1"/>
  <c r="D253" i="4" s="1"/>
  <c r="D254" i="4" a="1"/>
  <c r="D254" i="4" s="1"/>
  <c r="D255" i="4" a="1"/>
  <c r="D255" i="4" s="1"/>
  <c r="D256" i="4" a="1"/>
  <c r="D256" i="4" s="1"/>
  <c r="D257" i="4" a="1"/>
  <c r="D257" i="4" s="1"/>
  <c r="D258" i="4" a="1"/>
  <c r="D258" i="4" s="1"/>
  <c r="D259" i="4" a="1"/>
  <c r="D259" i="4" s="1"/>
  <c r="D260" i="4" a="1"/>
  <c r="D260" i="4" s="1"/>
  <c r="D261" i="4" a="1"/>
  <c r="D261" i="4" s="1"/>
  <c r="D262" i="4" a="1"/>
  <c r="D262" i="4" s="1"/>
  <c r="D263" i="4" a="1"/>
  <c r="D263" i="4" s="1"/>
  <c r="D264" i="4" a="1"/>
  <c r="D264" i="4" s="1"/>
  <c r="D265" i="4" a="1"/>
  <c r="D265" i="4" s="1"/>
  <c r="D266" i="4" a="1"/>
  <c r="D266" i="4" s="1"/>
  <c r="D267" i="4" a="1"/>
  <c r="D267" i="4" s="1"/>
  <c r="D268" i="4" a="1"/>
  <c r="D268" i="4" s="1"/>
  <c r="D269" i="4" a="1"/>
  <c r="D269" i="4" s="1"/>
  <c r="D270" i="4" a="1"/>
  <c r="D270" i="4" s="1"/>
  <c r="D271" i="4" a="1"/>
  <c r="D271" i="4" s="1"/>
  <c r="D272" i="4" a="1"/>
  <c r="D272" i="4" s="1"/>
  <c r="D273" i="4" a="1"/>
  <c r="D273" i="4" s="1"/>
  <c r="D274" i="4" a="1"/>
  <c r="D274" i="4" s="1"/>
  <c r="D275" i="4" a="1"/>
  <c r="D275" i="4" s="1"/>
  <c r="D276" i="4" a="1"/>
  <c r="D276" i="4" s="1"/>
  <c r="D277" i="4" a="1"/>
  <c r="D277" i="4" s="1"/>
  <c r="D278" i="4" a="1"/>
  <c r="D278" i="4" s="1"/>
  <c r="D279" i="4" a="1"/>
  <c r="D279" i="4" s="1"/>
  <c r="D280" i="4" a="1"/>
  <c r="D280" i="4" s="1"/>
  <c r="D281" i="4" a="1"/>
  <c r="D281" i="4" s="1"/>
  <c r="D282" i="4" a="1"/>
  <c r="D282" i="4" s="1"/>
  <c r="D283" i="4" a="1"/>
  <c r="D283" i="4" s="1"/>
  <c r="D284" i="4" a="1"/>
  <c r="D284" i="4" s="1"/>
  <c r="D285" i="4" a="1"/>
  <c r="D285" i="4" s="1"/>
  <c r="D286" i="4" a="1"/>
  <c r="D286" i="4" s="1"/>
  <c r="D287" i="4" a="1"/>
  <c r="D287" i="4" s="1"/>
  <c r="D288" i="4" a="1"/>
  <c r="D288" i="4" s="1"/>
  <c r="D289" i="4" a="1"/>
  <c r="D289" i="4" s="1"/>
  <c r="D290" i="4" a="1"/>
  <c r="D290" i="4" s="1"/>
  <c r="D291" i="4" a="1"/>
  <c r="D291" i="4" s="1"/>
  <c r="D292" i="4" a="1"/>
  <c r="D292" i="4" s="1"/>
  <c r="D293" i="4" a="1"/>
  <c r="D293" i="4" s="1"/>
  <c r="D294" i="4" a="1"/>
  <c r="D294" i="4" s="1"/>
  <c r="D295" i="4" a="1"/>
  <c r="D295" i="4" s="1"/>
  <c r="D296" i="4" a="1"/>
  <c r="D296" i="4" s="1"/>
  <c r="D297" i="4" a="1"/>
  <c r="D297" i="4" s="1"/>
  <c r="D298" i="4" a="1"/>
  <c r="D298" i="4" s="1"/>
  <c r="D299" i="4" a="1"/>
  <c r="D299" i="4" s="1"/>
  <c r="D300" i="4" a="1"/>
  <c r="D300" i="4" s="1"/>
  <c r="D301" i="4" a="1"/>
  <c r="D301" i="4" s="1"/>
  <c r="D302" i="4" a="1"/>
  <c r="D302" i="4" s="1"/>
  <c r="D303" i="4" a="1"/>
  <c r="D303" i="4" s="1"/>
  <c r="D304" i="4" a="1"/>
  <c r="D304" i="4" s="1"/>
  <c r="D305" i="4" a="1"/>
  <c r="D305" i="4" s="1"/>
  <c r="D306" i="4" a="1"/>
  <c r="D306" i="4" s="1"/>
  <c r="D307" i="4" a="1"/>
  <c r="D307" i="4" s="1"/>
  <c r="D308" i="4" a="1"/>
  <c r="D308" i="4" s="1"/>
  <c r="D309" i="4" a="1"/>
  <c r="D309" i="4" s="1"/>
  <c r="D310" i="4" a="1"/>
  <c r="D310" i="4" s="1"/>
  <c r="D311" i="4" a="1"/>
  <c r="D311" i="4" s="1"/>
  <c r="D312" i="4" a="1"/>
  <c r="D312" i="4" s="1"/>
  <c r="D5" i="4" a="1"/>
  <c r="D5" i="4" s="1"/>
  <c r="D6" i="4" a="1"/>
  <c r="D6" i="4" s="1"/>
  <c r="D7" i="4" a="1"/>
  <c r="D7" i="4" s="1"/>
  <c r="D8" i="4" a="1"/>
  <c r="D8" i="4" s="1"/>
  <c r="D9" i="4" a="1"/>
  <c r="D9" i="4" s="1"/>
  <c r="D3" i="4" a="1"/>
  <c r="D3" i="4" s="1"/>
  <c r="D4" i="4" a="1"/>
  <c r="D4" i="4" s="1"/>
  <c r="M1" i="2"/>
  <c r="K10" i="1"/>
  <c r="D314" i="4" l="1" a="1"/>
  <c r="D314" i="4" s="1"/>
  <c r="D315" i="4" a="1"/>
  <c r="D315" i="4" s="1"/>
  <c r="D313" i="4" a="1"/>
  <c r="D313" i="4" s="1"/>
  <c r="L188" i="4" a="1"/>
  <c r="L188" i="4" s="1"/>
  <c r="L189" i="4" a="1"/>
  <c r="L189" i="4" s="1"/>
  <c r="L190" i="4" a="1"/>
  <c r="L190" i="4" s="1"/>
  <c r="L191" i="4" a="1"/>
  <c r="L191" i="4" s="1"/>
  <c r="L192" i="4" a="1"/>
  <c r="L192" i="4" s="1"/>
  <c r="L193" i="4" a="1"/>
  <c r="L193" i="4" s="1"/>
  <c r="L194" i="4" a="1"/>
  <c r="L194" i="4" s="1"/>
  <c r="L195" i="4" a="1"/>
  <c r="L195" i="4" s="1"/>
  <c r="L196" i="4" a="1"/>
  <c r="L196" i="4" s="1"/>
  <c r="L197" i="4" a="1"/>
  <c r="L197" i="4" s="1"/>
  <c r="L198" i="4" a="1"/>
  <c r="L198" i="4" s="1"/>
  <c r="L199" i="4" a="1"/>
  <c r="L199" i="4" s="1"/>
  <c r="L200" i="4" a="1"/>
  <c r="L200" i="4" s="1"/>
  <c r="L201" i="4" a="1"/>
  <c r="L201" i="4" s="1"/>
  <c r="L202" i="4" a="1"/>
  <c r="L202" i="4" s="1"/>
  <c r="L203" i="4" a="1"/>
  <c r="L203" i="4" s="1"/>
  <c r="L204" i="4" a="1"/>
  <c r="L204" i="4" s="1"/>
  <c r="L205" i="4" a="1"/>
  <c r="L205" i="4" s="1"/>
  <c r="L206" i="4" a="1"/>
  <c r="L206" i="4" s="1"/>
  <c r="L207" i="4" a="1"/>
  <c r="L207" i="4" s="1"/>
  <c r="L208" i="4" a="1"/>
  <c r="L208" i="4" s="1"/>
  <c r="L209" i="4" a="1"/>
  <c r="L209" i="4" s="1"/>
  <c r="L210" i="4" a="1"/>
  <c r="L210" i="4" s="1"/>
  <c r="L211" i="4" a="1"/>
  <c r="L211" i="4" s="1"/>
  <c r="L212" i="4" a="1"/>
  <c r="L212" i="4" s="1"/>
  <c r="L213" i="4" a="1"/>
  <c r="L213" i="4" s="1"/>
  <c r="L214" i="4" a="1"/>
  <c r="L214" i="4" s="1"/>
  <c r="L215" i="4" a="1"/>
  <c r="L215" i="4" s="1"/>
  <c r="L216" i="4" a="1"/>
  <c r="L216" i="4" s="1"/>
  <c r="L217" i="4" a="1"/>
  <c r="L217" i="4" s="1"/>
  <c r="L218" i="4" a="1"/>
  <c r="L218" i="4" s="1"/>
  <c r="L219" i="4" a="1"/>
  <c r="L219" i="4" s="1"/>
  <c r="L220" i="4" a="1"/>
  <c r="L220" i="4" s="1"/>
  <c r="L221" i="4" a="1"/>
  <c r="L221" i="4" s="1"/>
  <c r="L222" i="4" a="1"/>
  <c r="L222" i="4" s="1"/>
  <c r="L223" i="4" a="1"/>
  <c r="L223" i="4" s="1"/>
  <c r="L224" i="4" a="1"/>
  <c r="L224" i="4" s="1"/>
  <c r="L225" i="4" a="1"/>
  <c r="L225" i="4" s="1"/>
  <c r="L226" i="4" a="1"/>
  <c r="L226" i="4" s="1"/>
  <c r="L227" i="4" a="1"/>
  <c r="L227" i="4" s="1"/>
  <c r="L228" i="4" a="1"/>
  <c r="L228" i="4" s="1"/>
  <c r="L229" i="4" a="1"/>
  <c r="L229" i="4" s="1"/>
  <c r="L230" i="4" a="1"/>
  <c r="L230" i="4" s="1"/>
  <c r="L231" i="4" a="1"/>
  <c r="L231" i="4" s="1"/>
  <c r="L232" i="4" a="1"/>
  <c r="L232" i="4" s="1"/>
  <c r="L233" i="4" a="1"/>
  <c r="L233" i="4" s="1"/>
  <c r="L234" i="4" a="1"/>
  <c r="L234" i="4" s="1"/>
  <c r="L235" i="4" a="1"/>
  <c r="L235" i="4" s="1"/>
  <c r="L236" i="4" a="1"/>
  <c r="L236" i="4" s="1"/>
  <c r="L237" i="4" a="1"/>
  <c r="L237" i="4" s="1"/>
  <c r="L238" i="4" a="1"/>
  <c r="L238" i="4" s="1"/>
  <c r="L239" i="4" a="1"/>
  <c r="L239" i="4" s="1"/>
  <c r="L240" i="4" a="1"/>
  <c r="L240" i="4" s="1"/>
  <c r="L241" i="4" a="1"/>
  <c r="L241" i="4" s="1"/>
  <c r="L242" i="4" a="1"/>
  <c r="L242" i="4" s="1"/>
  <c r="L243" i="4" a="1"/>
  <c r="L243" i="4" s="1"/>
  <c r="L244" i="4" a="1"/>
  <c r="L244" i="4" s="1"/>
  <c r="L245" i="4" a="1"/>
  <c r="L245" i="4" s="1"/>
  <c r="L246" i="4" a="1"/>
  <c r="L246" i="4" s="1"/>
  <c r="L247" i="4" a="1"/>
  <c r="L247" i="4" s="1"/>
  <c r="L248" i="4" a="1"/>
  <c r="L248" i="4" s="1"/>
  <c r="L249" i="4" a="1"/>
  <c r="L249" i="4" s="1"/>
  <c r="L250" i="4" a="1"/>
  <c r="L250" i="4" s="1"/>
  <c r="L251" i="4" a="1"/>
  <c r="L251" i="4" s="1"/>
  <c r="L252" i="4" a="1"/>
  <c r="L252" i="4" s="1"/>
  <c r="L253" i="4" a="1"/>
  <c r="L253" i="4" s="1"/>
  <c r="L254" i="4" a="1"/>
  <c r="L254" i="4" s="1"/>
  <c r="L255" i="4" a="1"/>
  <c r="L255" i="4" s="1"/>
  <c r="L256" i="4" a="1"/>
  <c r="L256" i="4" s="1"/>
  <c r="L257" i="4" a="1"/>
  <c r="L257" i="4" s="1"/>
  <c r="L258" i="4" a="1"/>
  <c r="L258" i="4" s="1"/>
  <c r="L259" i="4" a="1"/>
  <c r="L259" i="4" s="1"/>
  <c r="L260" i="4" a="1"/>
  <c r="L260" i="4" s="1"/>
  <c r="L261" i="4" a="1"/>
  <c r="L261" i="4" s="1"/>
  <c r="L262" i="4" a="1"/>
  <c r="L262" i="4" s="1"/>
  <c r="L263" i="4" a="1"/>
  <c r="L263" i="4" s="1"/>
  <c r="L264" i="4" a="1"/>
  <c r="L264" i="4" s="1"/>
  <c r="L265" i="4" a="1"/>
  <c r="L265" i="4" s="1"/>
  <c r="L266" i="4" a="1"/>
  <c r="L266" i="4" s="1"/>
  <c r="L267" i="4" a="1"/>
  <c r="L267" i="4" s="1"/>
  <c r="L268" i="4" a="1"/>
  <c r="L268" i="4" s="1"/>
  <c r="L269" i="4" a="1"/>
  <c r="L269" i="4" s="1"/>
  <c r="L270" i="4" a="1"/>
  <c r="L270" i="4" s="1"/>
  <c r="L271" i="4" a="1"/>
  <c r="L271" i="4" s="1"/>
  <c r="L272" i="4" a="1"/>
  <c r="L272" i="4" s="1"/>
  <c r="L273" i="4" a="1"/>
  <c r="L273" i="4" s="1"/>
  <c r="L274" i="4" a="1"/>
  <c r="L274" i="4" s="1"/>
  <c r="L275" i="4" a="1"/>
  <c r="L275" i="4" s="1"/>
  <c r="L276" i="4" a="1"/>
  <c r="L276" i="4" s="1"/>
  <c r="L277" i="4" a="1"/>
  <c r="L277" i="4" s="1"/>
  <c r="L278" i="4" a="1"/>
  <c r="L278" i="4" s="1"/>
  <c r="L279" i="4" a="1"/>
  <c r="L279" i="4" s="1"/>
  <c r="L280" i="4" a="1"/>
  <c r="L280" i="4" s="1"/>
  <c r="L281" i="4" a="1"/>
  <c r="L281" i="4" s="1"/>
  <c r="L282" i="4" a="1"/>
  <c r="L282" i="4" s="1"/>
  <c r="L283" i="4" a="1"/>
  <c r="L283" i="4" s="1"/>
  <c r="L284" i="4" a="1"/>
  <c r="L284" i="4" s="1"/>
  <c r="L285" i="4" a="1"/>
  <c r="L285" i="4" s="1"/>
  <c r="L286" i="4" a="1"/>
  <c r="L286" i="4" s="1"/>
  <c r="L287" i="4" a="1"/>
  <c r="L287" i="4" s="1"/>
  <c r="L288" i="4" a="1"/>
  <c r="L288" i="4" s="1"/>
  <c r="L289" i="4" a="1"/>
  <c r="L289" i="4" s="1"/>
  <c r="L290" i="4" a="1"/>
  <c r="L290" i="4" s="1"/>
  <c r="L291" i="4" a="1"/>
  <c r="L291" i="4" s="1"/>
  <c r="L292" i="4" a="1"/>
  <c r="L292" i="4" s="1"/>
  <c r="L293" i="4" a="1"/>
  <c r="L293" i="4" s="1"/>
  <c r="L294" i="4" a="1"/>
  <c r="L294" i="4" s="1"/>
  <c r="L295" i="4" a="1"/>
  <c r="L295" i="4" s="1"/>
  <c r="L296" i="4" a="1"/>
  <c r="L296" i="4" s="1"/>
  <c r="L297" i="4" a="1"/>
  <c r="L297" i="4" s="1"/>
  <c r="L298" i="4" a="1"/>
  <c r="L298" i="4" s="1"/>
  <c r="L299" i="4" a="1"/>
  <c r="L299" i="4" s="1"/>
  <c r="L300" i="4" a="1"/>
  <c r="L300" i="4" s="1"/>
  <c r="L301" i="4" a="1"/>
  <c r="L301" i="4" s="1"/>
  <c r="L302" i="4" a="1"/>
  <c r="L302" i="4" s="1"/>
  <c r="L303" i="4" a="1"/>
  <c r="L303" i="4" s="1"/>
  <c r="L304" i="4" a="1"/>
  <c r="L304" i="4" s="1"/>
  <c r="L305" i="4" a="1"/>
  <c r="L305" i="4" s="1"/>
  <c r="L306" i="4" a="1"/>
  <c r="L306" i="4" s="1"/>
  <c r="L307" i="4" a="1"/>
  <c r="L307" i="4" s="1"/>
  <c r="L308" i="4" a="1"/>
  <c r="L308" i="4" s="1"/>
  <c r="L309" i="4" a="1"/>
  <c r="L309" i="4" s="1"/>
  <c r="L310" i="4" a="1"/>
  <c r="L310" i="4" s="1"/>
  <c r="L311" i="4" a="1"/>
  <c r="L311" i="4" s="1"/>
  <c r="L313" i="4" a="1"/>
  <c r="L313" i="4" s="1"/>
  <c r="L314" i="4" a="1"/>
  <c r="L314" i="4" s="1"/>
  <c r="L315" i="4" a="1"/>
  <c r="L315" i="4" s="1"/>
  <c r="C188" i="4" a="1"/>
  <c r="C188" i="4" s="1"/>
  <c r="C189" i="4" a="1"/>
  <c r="C189" i="4" s="1"/>
  <c r="C190" i="4" a="1"/>
  <c r="C190" i="4" s="1"/>
  <c r="C191" i="4" a="1"/>
  <c r="C191" i="4" s="1"/>
  <c r="C192" i="4" a="1"/>
  <c r="C192" i="4" s="1"/>
  <c r="C193" i="4" a="1"/>
  <c r="C193" i="4" s="1"/>
  <c r="C194" i="4" a="1"/>
  <c r="C194" i="4" s="1"/>
  <c r="C195" i="4" a="1"/>
  <c r="C195" i="4" s="1"/>
  <c r="C196" i="4" a="1"/>
  <c r="C196" i="4" s="1"/>
  <c r="C197" i="4" a="1"/>
  <c r="C197" i="4" s="1"/>
  <c r="C198" i="4" a="1"/>
  <c r="C198" i="4" s="1"/>
  <c r="C199" i="4" a="1"/>
  <c r="C199" i="4" s="1"/>
  <c r="C200" i="4" a="1"/>
  <c r="C200" i="4" s="1"/>
  <c r="C201" i="4" a="1"/>
  <c r="C201" i="4" s="1"/>
  <c r="C202" i="4" a="1"/>
  <c r="C202" i="4" s="1"/>
  <c r="C203" i="4" a="1"/>
  <c r="C203" i="4" s="1"/>
  <c r="C204" i="4" a="1"/>
  <c r="C204" i="4" s="1"/>
  <c r="C205" i="4" a="1"/>
  <c r="C205" i="4" s="1"/>
  <c r="C206" i="4" a="1"/>
  <c r="C206" i="4" s="1"/>
  <c r="C207" i="4" a="1"/>
  <c r="C207" i="4" s="1"/>
  <c r="C208" i="4" a="1"/>
  <c r="C208" i="4" s="1"/>
  <c r="C209" i="4" a="1"/>
  <c r="C209" i="4" s="1"/>
  <c r="C210" i="4" a="1"/>
  <c r="C210" i="4" s="1"/>
  <c r="C211" i="4" a="1"/>
  <c r="C211" i="4" s="1"/>
  <c r="C212" i="4" a="1"/>
  <c r="C212" i="4" s="1"/>
  <c r="C213" i="4" a="1"/>
  <c r="C213" i="4" s="1"/>
  <c r="C214" i="4" a="1"/>
  <c r="C214" i="4" s="1"/>
  <c r="C215" i="4" a="1"/>
  <c r="C215" i="4" s="1"/>
  <c r="C216" i="4" a="1"/>
  <c r="C216" i="4" s="1"/>
  <c r="C217" i="4" a="1"/>
  <c r="C217" i="4" s="1"/>
  <c r="C218" i="4" a="1"/>
  <c r="C218" i="4" s="1"/>
  <c r="C219" i="4" a="1"/>
  <c r="C219" i="4" s="1"/>
  <c r="C220" i="4" a="1"/>
  <c r="C220" i="4" s="1"/>
  <c r="C221" i="4" a="1"/>
  <c r="C221" i="4" s="1"/>
  <c r="C222" i="4" a="1"/>
  <c r="C222" i="4" s="1"/>
  <c r="C223" i="4" a="1"/>
  <c r="C223" i="4" s="1"/>
  <c r="C224" i="4" a="1"/>
  <c r="C224" i="4" s="1"/>
  <c r="C225" i="4" a="1"/>
  <c r="C225" i="4" s="1"/>
  <c r="C226" i="4" a="1"/>
  <c r="C226" i="4" s="1"/>
  <c r="C227" i="4" a="1"/>
  <c r="C227" i="4" s="1"/>
  <c r="C228" i="4" a="1"/>
  <c r="C228" i="4" s="1"/>
  <c r="C229" i="4" a="1"/>
  <c r="C229" i="4" s="1"/>
  <c r="C230" i="4" a="1"/>
  <c r="C230" i="4" s="1"/>
  <c r="C231" i="4" a="1"/>
  <c r="C231" i="4" s="1"/>
  <c r="C232" i="4" a="1"/>
  <c r="C232" i="4" s="1"/>
  <c r="C233" i="4" a="1"/>
  <c r="C233" i="4" s="1"/>
  <c r="C234" i="4" a="1"/>
  <c r="C234" i="4" s="1"/>
  <c r="C235" i="4" a="1"/>
  <c r="C235" i="4" s="1"/>
  <c r="C236" i="4" a="1"/>
  <c r="C236" i="4" s="1"/>
  <c r="C237" i="4" a="1"/>
  <c r="C237" i="4" s="1"/>
  <c r="C238" i="4" a="1"/>
  <c r="C238" i="4" s="1"/>
  <c r="C239" i="4" a="1"/>
  <c r="C239" i="4" s="1"/>
  <c r="C240" i="4" a="1"/>
  <c r="C240" i="4" s="1"/>
  <c r="C241" i="4" a="1"/>
  <c r="C241" i="4" s="1"/>
  <c r="C242" i="4" a="1"/>
  <c r="C242" i="4" s="1"/>
  <c r="C243" i="4" a="1"/>
  <c r="C243" i="4" s="1"/>
  <c r="C244" i="4" a="1"/>
  <c r="C244" i="4" s="1"/>
  <c r="C245" i="4" a="1"/>
  <c r="C245" i="4" s="1"/>
  <c r="C246" i="4" a="1"/>
  <c r="C246" i="4" s="1"/>
  <c r="C247" i="4" a="1"/>
  <c r="C247" i="4" s="1"/>
  <c r="C248" i="4" a="1"/>
  <c r="C248" i="4" s="1"/>
  <c r="C249" i="4" a="1"/>
  <c r="C249" i="4" s="1"/>
  <c r="C250" i="4" a="1"/>
  <c r="C250" i="4" s="1"/>
  <c r="C251" i="4" a="1"/>
  <c r="C251" i="4" s="1"/>
  <c r="C252" i="4" a="1"/>
  <c r="C252" i="4" s="1"/>
  <c r="C253" i="4" a="1"/>
  <c r="C253" i="4" s="1"/>
  <c r="C254" i="4" a="1"/>
  <c r="C254" i="4" s="1"/>
  <c r="C255" i="4" a="1"/>
  <c r="C255" i="4" s="1"/>
  <c r="C256" i="4" a="1"/>
  <c r="C256" i="4" s="1"/>
  <c r="C257" i="4" a="1"/>
  <c r="C257" i="4" s="1"/>
  <c r="C258" i="4" a="1"/>
  <c r="C258" i="4" s="1"/>
  <c r="C259" i="4" a="1"/>
  <c r="C259" i="4" s="1"/>
  <c r="C260" i="4" a="1"/>
  <c r="C260" i="4" s="1"/>
  <c r="C261" i="4" a="1"/>
  <c r="C261" i="4" s="1"/>
  <c r="C262" i="4" a="1"/>
  <c r="C262" i="4" s="1"/>
  <c r="C263" i="4" a="1"/>
  <c r="C263" i="4" s="1"/>
  <c r="C264" i="4" a="1"/>
  <c r="C264" i="4" s="1"/>
  <c r="C265" i="4" a="1"/>
  <c r="C265" i="4" s="1"/>
  <c r="C266" i="4" a="1"/>
  <c r="C266" i="4" s="1"/>
  <c r="C267" i="4" a="1"/>
  <c r="C267" i="4" s="1"/>
  <c r="C268" i="4" a="1"/>
  <c r="C268" i="4" s="1"/>
  <c r="C269" i="4" a="1"/>
  <c r="C269" i="4" s="1"/>
  <c r="C270" i="4" a="1"/>
  <c r="C270" i="4" s="1"/>
  <c r="C271" i="4" a="1"/>
  <c r="C271" i="4" s="1"/>
  <c r="C272" i="4" a="1"/>
  <c r="C272" i="4" s="1"/>
  <c r="C273" i="4" a="1"/>
  <c r="C273" i="4" s="1"/>
  <c r="C274" i="4" a="1"/>
  <c r="C274" i="4" s="1"/>
  <c r="C275" i="4" a="1"/>
  <c r="C275" i="4" s="1"/>
  <c r="C276" i="4" a="1"/>
  <c r="C276" i="4" s="1"/>
  <c r="C277" i="4" a="1"/>
  <c r="C277" i="4" s="1"/>
  <c r="C278" i="4" a="1"/>
  <c r="C278" i="4" s="1"/>
  <c r="C279" i="4" a="1"/>
  <c r="C279" i="4" s="1"/>
  <c r="C280" i="4" a="1"/>
  <c r="C280" i="4" s="1"/>
  <c r="C281" i="4" a="1"/>
  <c r="C281" i="4" s="1"/>
  <c r="C282" i="4" a="1"/>
  <c r="C282" i="4" s="1"/>
  <c r="C283" i="4" a="1"/>
  <c r="C283" i="4" s="1"/>
  <c r="C284" i="4" a="1"/>
  <c r="C284" i="4" s="1"/>
  <c r="C285" i="4" a="1"/>
  <c r="C285" i="4" s="1"/>
  <c r="C286" i="4" a="1"/>
  <c r="C286" i="4" s="1"/>
  <c r="C287" i="4" a="1"/>
  <c r="C287" i="4" s="1"/>
  <c r="C288" i="4" a="1"/>
  <c r="C288" i="4" s="1"/>
  <c r="C289" i="4" a="1"/>
  <c r="C289" i="4" s="1"/>
  <c r="C290" i="4" a="1"/>
  <c r="C290" i="4" s="1"/>
  <c r="C291" i="4" a="1"/>
  <c r="C291" i="4" s="1"/>
  <c r="C292" i="4" a="1"/>
  <c r="C292" i="4" s="1"/>
  <c r="C293" i="4" a="1"/>
  <c r="C293" i="4" s="1"/>
  <c r="C294" i="4" a="1"/>
  <c r="C294" i="4" s="1"/>
  <c r="C295" i="4" a="1"/>
  <c r="C295" i="4" s="1"/>
  <c r="C296" i="4" a="1"/>
  <c r="C296" i="4" s="1"/>
  <c r="C297" i="4" a="1"/>
  <c r="C297" i="4" s="1"/>
  <c r="C298" i="4" a="1"/>
  <c r="C298" i="4" s="1"/>
  <c r="C299" i="4" a="1"/>
  <c r="C299" i="4" s="1"/>
  <c r="C300" i="4" a="1"/>
  <c r="C300" i="4" s="1"/>
  <c r="C301" i="4" a="1"/>
  <c r="C301" i="4" s="1"/>
  <c r="C302" i="4" a="1"/>
  <c r="C302" i="4" s="1"/>
  <c r="C303" i="4" a="1"/>
  <c r="C303" i="4" s="1"/>
  <c r="C304" i="4" a="1"/>
  <c r="C304" i="4" s="1"/>
  <c r="C305" i="4" a="1"/>
  <c r="C305" i="4" s="1"/>
  <c r="C306" i="4" a="1"/>
  <c r="C306" i="4" s="1"/>
  <c r="C307" i="4" a="1"/>
  <c r="C307" i="4" s="1"/>
  <c r="C308" i="4" a="1"/>
  <c r="C308" i="4" s="1"/>
  <c r="C309" i="4" a="1"/>
  <c r="C309" i="4" s="1"/>
  <c r="C310" i="4" a="1"/>
  <c r="C310" i="4" s="1"/>
  <c r="C311" i="4" a="1"/>
  <c r="C311" i="4" s="1"/>
  <c r="C312" i="4" a="1"/>
  <c r="C312" i="4" s="1"/>
  <c r="C313" i="4" a="1"/>
  <c r="C313" i="4" s="1"/>
  <c r="C314" i="4" a="1"/>
  <c r="C314" i="4" s="1"/>
  <c r="C315" i="4" a="1"/>
  <c r="C315" i="4" s="1"/>
  <c r="F188" i="4" a="1"/>
  <c r="F188" i="4" s="1"/>
  <c r="F189" i="4" a="1"/>
  <c r="F189" i="4" s="1"/>
  <c r="F190" i="4" a="1"/>
  <c r="F190" i="4" s="1"/>
  <c r="F191" i="4" a="1"/>
  <c r="F191" i="4" s="1"/>
  <c r="F192" i="4" a="1"/>
  <c r="F192" i="4" s="1"/>
  <c r="F193" i="4" a="1"/>
  <c r="F193" i="4" s="1"/>
  <c r="F194" i="4" a="1"/>
  <c r="F194" i="4" s="1"/>
  <c r="F195" i="4" a="1"/>
  <c r="F195" i="4" s="1"/>
  <c r="F196" i="4" a="1"/>
  <c r="F196" i="4" s="1"/>
  <c r="F197" i="4" a="1"/>
  <c r="F197" i="4" s="1"/>
  <c r="F198" i="4" a="1"/>
  <c r="F198" i="4" s="1"/>
  <c r="F199" i="4" a="1"/>
  <c r="F199" i="4" s="1"/>
  <c r="F200" i="4" a="1"/>
  <c r="F200" i="4" s="1"/>
  <c r="F201" i="4" a="1"/>
  <c r="F201" i="4" s="1"/>
  <c r="F202" i="4" a="1"/>
  <c r="F202" i="4" s="1"/>
  <c r="F203" i="4" a="1"/>
  <c r="F203" i="4" s="1"/>
  <c r="F204" i="4" a="1"/>
  <c r="F204" i="4" s="1"/>
  <c r="F205" i="4" a="1"/>
  <c r="F205" i="4" s="1"/>
  <c r="F206" i="4" a="1"/>
  <c r="F206" i="4" s="1"/>
  <c r="F207" i="4" a="1"/>
  <c r="F207" i="4" s="1"/>
  <c r="F208" i="4" a="1"/>
  <c r="F208" i="4" s="1"/>
  <c r="F209" i="4" a="1"/>
  <c r="F209" i="4" s="1"/>
  <c r="F210" i="4" a="1"/>
  <c r="F210" i="4" s="1"/>
  <c r="F211" i="4" a="1"/>
  <c r="F211" i="4" s="1"/>
  <c r="F212" i="4" a="1"/>
  <c r="F212" i="4" s="1"/>
  <c r="F213" i="4" a="1"/>
  <c r="F213" i="4" s="1"/>
  <c r="F214" i="4" a="1"/>
  <c r="F214" i="4" s="1"/>
  <c r="F215" i="4" a="1"/>
  <c r="F215" i="4" s="1"/>
  <c r="F216" i="4" a="1"/>
  <c r="F216" i="4" s="1"/>
  <c r="F217" i="4" a="1"/>
  <c r="F217" i="4" s="1"/>
  <c r="F218" i="4" a="1"/>
  <c r="F218" i="4" s="1"/>
  <c r="F219" i="4" a="1"/>
  <c r="F219" i="4" s="1"/>
  <c r="F220" i="4" a="1"/>
  <c r="F220" i="4" s="1"/>
  <c r="F221" i="4" a="1"/>
  <c r="F221" i="4" s="1"/>
  <c r="F222" i="4" a="1"/>
  <c r="F222" i="4" s="1"/>
  <c r="F223" i="4" a="1"/>
  <c r="F223" i="4" s="1"/>
  <c r="F224" i="4" a="1"/>
  <c r="F224" i="4" s="1"/>
  <c r="F225" i="4" a="1"/>
  <c r="F225" i="4" s="1"/>
  <c r="F226" i="4" a="1"/>
  <c r="F226" i="4" s="1"/>
  <c r="F227" i="4" a="1"/>
  <c r="F227" i="4" s="1"/>
  <c r="F228" i="4" a="1"/>
  <c r="F228" i="4" s="1"/>
  <c r="F229" i="4" a="1"/>
  <c r="F229" i="4" s="1"/>
  <c r="F230" i="4" a="1"/>
  <c r="F230" i="4" s="1"/>
  <c r="F231" i="4" a="1"/>
  <c r="F231" i="4" s="1"/>
  <c r="F232" i="4" a="1"/>
  <c r="F232" i="4" s="1"/>
  <c r="F233" i="4" a="1"/>
  <c r="F233" i="4" s="1"/>
  <c r="F234" i="4" a="1"/>
  <c r="F234" i="4" s="1"/>
  <c r="F235" i="4" a="1"/>
  <c r="F235" i="4" s="1"/>
  <c r="F236" i="4" a="1"/>
  <c r="F236" i="4" s="1"/>
  <c r="F237" i="4" a="1"/>
  <c r="F237" i="4" s="1"/>
  <c r="F238" i="4" a="1"/>
  <c r="F238" i="4" s="1"/>
  <c r="F239" i="4" a="1"/>
  <c r="F239" i="4" s="1"/>
  <c r="F240" i="4" a="1"/>
  <c r="F240" i="4" s="1"/>
  <c r="F241" i="4" a="1"/>
  <c r="F241" i="4" s="1"/>
  <c r="F242" i="4" a="1"/>
  <c r="F242" i="4" s="1"/>
  <c r="F243" i="4" a="1"/>
  <c r="F243" i="4" s="1"/>
  <c r="F244" i="4" a="1"/>
  <c r="F244" i="4" s="1"/>
  <c r="F245" i="4" a="1"/>
  <c r="F245" i="4" s="1"/>
  <c r="F246" i="4" a="1"/>
  <c r="F246" i="4" s="1"/>
  <c r="F247" i="4" a="1"/>
  <c r="F247" i="4" s="1"/>
  <c r="F248" i="4" a="1"/>
  <c r="F248" i="4" s="1"/>
  <c r="F249" i="4" a="1"/>
  <c r="F249" i="4" s="1"/>
  <c r="F250" i="4" a="1"/>
  <c r="F250" i="4" s="1"/>
  <c r="F251" i="4" a="1"/>
  <c r="F251" i="4" s="1"/>
  <c r="F252" i="4" a="1"/>
  <c r="F252" i="4" s="1"/>
  <c r="F253" i="4" a="1"/>
  <c r="F253" i="4" s="1"/>
  <c r="F254" i="4" a="1"/>
  <c r="F254" i="4" s="1"/>
  <c r="F255" i="4" a="1"/>
  <c r="F255" i="4" s="1"/>
  <c r="F256" i="4" a="1"/>
  <c r="F256" i="4" s="1"/>
  <c r="F257" i="4" a="1"/>
  <c r="F257" i="4" s="1"/>
  <c r="F258" i="4" a="1"/>
  <c r="F258" i="4" s="1"/>
  <c r="F259" i="4" a="1"/>
  <c r="F259" i="4" s="1"/>
  <c r="F260" i="4" a="1"/>
  <c r="F260" i="4" s="1"/>
  <c r="F261" i="4" a="1"/>
  <c r="F261" i="4" s="1"/>
  <c r="F262" i="4" a="1"/>
  <c r="F262" i="4" s="1"/>
  <c r="F263" i="4" a="1"/>
  <c r="F263" i="4" s="1"/>
  <c r="F264" i="4" a="1"/>
  <c r="F264" i="4" s="1"/>
  <c r="F265" i="4" a="1"/>
  <c r="F265" i="4" s="1"/>
  <c r="F266" i="4" a="1"/>
  <c r="F266" i="4" s="1"/>
  <c r="F267" i="4" a="1"/>
  <c r="F267" i="4" s="1"/>
  <c r="F268" i="4" a="1"/>
  <c r="F268" i="4" s="1"/>
  <c r="F269" i="4" a="1"/>
  <c r="F269" i="4" s="1"/>
  <c r="F270" i="4" a="1"/>
  <c r="F270" i="4" s="1"/>
  <c r="F271" i="4" a="1"/>
  <c r="F271" i="4" s="1"/>
  <c r="F272" i="4" a="1"/>
  <c r="F272" i="4" s="1"/>
  <c r="F273" i="4" a="1"/>
  <c r="F273" i="4" s="1"/>
  <c r="F274" i="4" a="1"/>
  <c r="F274" i="4" s="1"/>
  <c r="F275" i="4" a="1"/>
  <c r="F275" i="4" s="1"/>
  <c r="F276" i="4" a="1"/>
  <c r="F276" i="4" s="1"/>
  <c r="F277" i="4" a="1"/>
  <c r="F277" i="4" s="1"/>
  <c r="F278" i="4" a="1"/>
  <c r="F278" i="4" s="1"/>
  <c r="F279" i="4" a="1"/>
  <c r="F279" i="4" s="1"/>
  <c r="F280" i="4" a="1"/>
  <c r="F280" i="4" s="1"/>
  <c r="F281" i="4" a="1"/>
  <c r="F281" i="4" s="1"/>
  <c r="F282" i="4" a="1"/>
  <c r="F282" i="4" s="1"/>
  <c r="F283" i="4" a="1"/>
  <c r="F283" i="4" s="1"/>
  <c r="F284" i="4" a="1"/>
  <c r="F284" i="4" s="1"/>
  <c r="F285" i="4" a="1"/>
  <c r="F285" i="4" s="1"/>
  <c r="F286" i="4" a="1"/>
  <c r="F286" i="4" s="1"/>
  <c r="F287" i="4" a="1"/>
  <c r="F287" i="4" s="1"/>
  <c r="F288" i="4" a="1"/>
  <c r="F288" i="4" s="1"/>
  <c r="F289" i="4" a="1"/>
  <c r="F289" i="4" s="1"/>
  <c r="F290" i="4" a="1"/>
  <c r="F290" i="4" s="1"/>
  <c r="F291" i="4" a="1"/>
  <c r="F291" i="4" s="1"/>
  <c r="F292" i="4" a="1"/>
  <c r="F292" i="4" s="1"/>
  <c r="F293" i="4" a="1"/>
  <c r="F293" i="4" s="1"/>
  <c r="F294" i="4" a="1"/>
  <c r="F294" i="4" s="1"/>
  <c r="F295" i="4" a="1"/>
  <c r="F295" i="4" s="1"/>
  <c r="F296" i="4" a="1"/>
  <c r="F296" i="4" s="1"/>
  <c r="F297" i="4" a="1"/>
  <c r="F297" i="4" s="1"/>
  <c r="F298" i="4" a="1"/>
  <c r="F298" i="4" s="1"/>
  <c r="F299" i="4" a="1"/>
  <c r="F299" i="4" s="1"/>
  <c r="F300" i="4" a="1"/>
  <c r="F300" i="4" s="1"/>
  <c r="F301" i="4" a="1"/>
  <c r="F301" i="4" s="1"/>
  <c r="F302" i="4" a="1"/>
  <c r="F302" i="4" s="1"/>
  <c r="F303" i="4" a="1"/>
  <c r="F303" i="4" s="1"/>
  <c r="F304" i="4" a="1"/>
  <c r="F304" i="4" s="1"/>
  <c r="F305" i="4" a="1"/>
  <c r="F305" i="4" s="1"/>
  <c r="F306" i="4" a="1"/>
  <c r="F306" i="4" s="1"/>
  <c r="F307" i="4" a="1"/>
  <c r="F307" i="4" s="1"/>
  <c r="F308" i="4" a="1"/>
  <c r="F308" i="4" s="1"/>
  <c r="F309" i="4" a="1"/>
  <c r="F309" i="4" s="1"/>
  <c r="F310" i="4" a="1"/>
  <c r="F310" i="4" s="1"/>
  <c r="F311" i="4" a="1"/>
  <c r="F311" i="4" s="1"/>
  <c r="F312" i="4" a="1"/>
  <c r="F312" i="4" s="1"/>
  <c r="F313" i="4" a="1"/>
  <c r="F313" i="4" s="1"/>
  <c r="F314" i="4" a="1"/>
  <c r="F314" i="4" s="1"/>
  <c r="F315" i="4" a="1"/>
  <c r="F315"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39" authorId="0" shapeId="0" xr:uid="{00000000-0006-0000-0000-000004000000}">
      <text>
        <r>
          <rPr>
            <sz val="11"/>
            <color theme="1"/>
            <rFont val="Calibri"/>
            <scheme val="minor"/>
          </rPr>
          <t>======
ID#AAAAmlf0m9M
tc={2E08B055-4FC9-41AB-A13C-952B15E5049E}    (2022-12-31 22:47:24)
[Threaded comment]
Your version of Excel allows you to read this threaded comment; however, any edits to it will get removed if the file is opened in a newer version of Excel. Learn more: https://go.microsoft.com/fwlink/?linkid=870924
Comment:
    No results</t>
        </r>
      </text>
    </comment>
    <comment ref="H55" authorId="0" shapeId="0" xr:uid="{00000000-0006-0000-0000-000002000000}">
      <text>
        <r>
          <rPr>
            <sz val="11"/>
            <color theme="1"/>
            <rFont val="Calibri"/>
            <scheme val="minor"/>
          </rPr>
          <t>======
ID#AAAAmlf0m9U
tc={392A6FC8-F918-4E53-A719-731BB551F5FF}    (2022-12-31 22:47:24)
[Threaded comment]
Your version of Excel allows you to read this threaded comment; however, any edits to it will get removed if the file is opened in a newer version of Excel. Learn more: https://go.microsoft.com/fwlink/?linkid=870924
Comment:
    No results</t>
        </r>
      </text>
    </comment>
    <comment ref="H63" authorId="0" shapeId="0" xr:uid="{00000000-0006-0000-0000-000003000000}">
      <text>
        <r>
          <rPr>
            <sz val="11"/>
            <color theme="1"/>
            <rFont val="Calibri"/>
            <scheme val="minor"/>
          </rPr>
          <t>======
ID#AAAAmlf0m9Q
tc={F9900A43-D152-4915-80A0-005734D7B2CA}    (2022-12-31 22:47:24)
[Threaded comment]
Your version of Excel allows you to read this threaded comment; however, any edits to it will get removed if the file is opened in a newer version of Excel. Learn more: https://go.microsoft.com/fwlink/?linkid=870924
Comment:
    No results</t>
        </r>
      </text>
    </comment>
    <comment ref="H67" authorId="0" shapeId="0" xr:uid="{00000000-0006-0000-0000-000001000000}">
      <text>
        <r>
          <rPr>
            <sz val="11"/>
            <color theme="1"/>
            <rFont val="Calibri"/>
            <scheme val="minor"/>
          </rPr>
          <t>======
ID#AAAAmlf0m9Y
tc={BAF94BA2-3C05-4AD5-98F4-65DBC652355C}    (2022-12-31 22:47:24)
[Threaded comment]
Your version of Excel allows you to read this threaded comment; however, any edits to it will get removed if the file is opened in a newer version of Excel. Learn more: https://go.microsoft.com/fwlink/?linkid=870924
Comment:
    No results</t>
        </r>
      </text>
    </comment>
  </commentList>
  <extLst>
    <ext xmlns:r="http://schemas.openxmlformats.org/officeDocument/2006/relationships" uri="GoogleSheetsCustomDataVersion1">
      <go:sheetsCustomData xmlns:go="http://customooxmlschemas.google.com/" r:id="rId1" roundtripDataSignature="AMtx7mj7Lkh8kf79k5w9xxiTuf1xpxrRWQ=="/>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<sst xmlns="http://schemas.openxmlformats.org/spreadsheetml/2006/main" count="8574" uniqueCount="1464">
  <si>
    <t>Search Level</t>
  </si>
  <si>
    <t>Search Stage</t>
  </si>
  <si>
    <t xml:space="preserve">Section </t>
  </si>
  <si>
    <t>Terms</t>
  </si>
  <si>
    <t>1st Level Search</t>
  </si>
  <si>
    <t>A. Water Specific Inclusionary Terms (AND)</t>
  </si>
  <si>
    <t>Headline and Lead</t>
  </si>
  <si>
    <r>
      <rPr>
        <i/>
        <sz val="11"/>
        <color rgb="FF000000"/>
        <rFont val="Calibri"/>
      </rPr>
      <t>*water*</t>
    </r>
    <r>
      <rPr>
        <sz val="11"/>
        <color rgb="FF000000"/>
        <rFont val="Calibri"/>
      </rPr>
      <t xml:space="preserve"> OR river* OR lake OR dam OR stream OR tributary OR diversion OR irrigation OR pollution OR water quality OR flood! OR drought! OR channel OR canal OR hydroelect! OR reservoir </t>
    </r>
    <r>
      <rPr>
        <i/>
        <sz val="11"/>
        <color rgb="FF000000"/>
        <rFont val="Calibri"/>
      </rPr>
      <t>OR groundwater OR aquifer OR drought OR recharge OR "water table" OR "bore hole"</t>
    </r>
  </si>
  <si>
    <t>B. Cooperation and Conflict Inclusionary Terms (AND)</t>
  </si>
  <si>
    <r>
      <rPr>
        <sz val="11"/>
        <color rgb="FF000000"/>
        <rFont val="Calibri"/>
      </rPr>
      <t>treaty OR agree! OR negotiat! OR resolution OR commission OR secretariat OR joint management OR basin management OR peace OR accord OR "peace accord" OR settle! OR</t>
    </r>
    <r>
      <rPr>
        <i/>
        <sz val="11"/>
        <color rgb="FF000000"/>
        <rFont val="Calibri"/>
      </rPr>
      <t xml:space="preserve"> cooperat!</t>
    </r>
    <r>
      <rPr>
        <sz val="11"/>
        <color rgb="FF000000"/>
        <rFont val="Calibri"/>
      </rPr>
      <t xml:space="preserve"> OR </t>
    </r>
    <r>
      <rPr>
        <i/>
        <sz val="11"/>
        <color rgb="FF000000"/>
        <rFont val="Calibri"/>
      </rPr>
      <t>collaborat!</t>
    </r>
    <r>
      <rPr>
        <sz val="11"/>
        <color rgb="FF000000"/>
        <rFont val="Calibri"/>
      </rPr>
      <t xml:space="preserve"> OR disput! OR conflict! OR disagree! OR sanction! OR war OR troops OR "letter of protest" OR hostility OR "shots fired" OR boycott OR protest! </t>
    </r>
    <r>
      <rPr>
        <i/>
        <sz val="11"/>
        <color rgb="FF000000"/>
        <rFont val="Calibri"/>
      </rPr>
      <t>OR appeal OR intent OR reject OR threat! OR force OR coerce OR assault OR fight OR demand OR disapprove OR diploma! OR statement OR memorandum</t>
    </r>
  </si>
  <si>
    <t>C. Exclusionary Terms (AND NOT)</t>
  </si>
  <si>
    <r>
      <rPr>
        <sz val="11"/>
        <color rgb="FF000000"/>
        <rFont val="Calibri"/>
      </rPr>
      <t>ocean OR navigat! OR nuclear OR "water cannon" OR "light water reactor" OR "mineral water" OR "hold water" OR "cold water" OR "hot water" OR "water canister" OR "water tight" OR " water down" OR "flood of refugees" OR Rivera OR Suez OR Panama OR oil OR drugs OR "three gorges</t>
    </r>
    <r>
      <rPr>
        <i/>
        <sz val="11"/>
        <color rgb="FF000000"/>
        <rFont val="Calibri"/>
      </rPr>
      <t xml:space="preserve">" OR waterski OR watermelon OR dishwater OR waterproof OR “water resistant” OR “water bath” </t>
    </r>
  </si>
  <si>
    <t>D. Date Range</t>
  </si>
  <si>
    <t>Date is between…</t>
  </si>
  <si>
    <t>E. Language</t>
  </si>
  <si>
    <t xml:space="preserve">[Blank] </t>
  </si>
  <si>
    <t>F. Source</t>
  </si>
  <si>
    <t>[Blank]</t>
  </si>
  <si>
    <t>2nd Level Search</t>
  </si>
  <si>
    <t>G. Remove Duplicates</t>
  </si>
  <si>
    <t>Toggle</t>
  </si>
  <si>
    <t>TFDD Basin Refrence Codes</t>
  </si>
  <si>
    <t>Data Collection Tracking</t>
  </si>
  <si>
    <t>G. Basin specific searches</t>
  </si>
  <si>
    <t xml:space="preserve">(AND) Headline and Lead </t>
  </si>
  <si>
    <t>BCODE</t>
  </si>
  <si>
    <t>Basin_Name</t>
  </si>
  <si>
    <t>RA Name</t>
  </si>
  <si>
    <t>Has search been completed and all files downloaded?  (Y (15 July 2022) if through that date, or Y if through 1 July 2023/N/Issues)
&gt;&gt;leave filtered N</t>
  </si>
  <si>
    <t>Has search for 15 July 2022 - 1 July 2023 been completed and all files downloaded and excel consolidated? (N/Y/Not needed)</t>
  </si>
  <si>
    <t>Has preliminary review been completed through 1 July 2023?  (Y/N/Issues)</t>
  </si>
  <si>
    <t>Has preliminary review for additional search year of  15 July 2022 - 1 July 2023  been completed? (Y/N/Not Needed)</t>
  </si>
  <si>
    <t xml:space="preserve">Search Notes, Identify any issues </t>
  </si>
  <si>
    <t>Adige</t>
  </si>
  <si>
    <t>ADIG</t>
  </si>
  <si>
    <t>Raunaq</t>
  </si>
  <si>
    <t>Y (15 July 2022)</t>
  </si>
  <si>
    <t>Y</t>
  </si>
  <si>
    <t>Akpa</t>
  </si>
  <si>
    <t>AKPA</t>
  </si>
  <si>
    <t xml:space="preserve">Y (15 July 2022) </t>
  </si>
  <si>
    <t>Alakol</t>
  </si>
  <si>
    <t>ALKL</t>
  </si>
  <si>
    <t>Alsek OR Bates Lake</t>
  </si>
  <si>
    <t>ALSK</t>
  </si>
  <si>
    <t>Alsek</t>
  </si>
  <si>
    <t>Amacuro</t>
  </si>
  <si>
    <t>AMCR</t>
  </si>
  <si>
    <t>Amur OR Emur OR Huma OR Muling OR Naoli OR Songhua OR Amagun OR Argun OR Bikin OR Bureya OR CAPS(Dep)  OR Gazimur OR Gilyuy OR Ingoda OR Kur OR Onon OR Oz. Chukchagirskoye OR Oz. Khanka OR Oz. Udyl' OR Shilka OR CAPS(Tok) OR Urmi OR Ussuri OR Zeya</t>
  </si>
  <si>
    <t>AMUR</t>
  </si>
  <si>
    <t>Amur</t>
  </si>
  <si>
    <t>N</t>
  </si>
  <si>
    <t>Not Needed</t>
  </si>
  <si>
    <t>More than 10k results</t>
  </si>
  <si>
    <t>Amazon OR Apere OR Baures OR Beni OR Guapore  OR Guapore Itenex OR Lago de San Luis OR Lago Rogaua OR Madidi OR CAPS(Paragua) OR Rapulo OR San Martin OR San Miguel OR CAPS(Secure) OR Yata OR Abacaxis OR Abuna OR Acalau OR Acarai OR CAPS(Agua) Pceta OR Ajuana OR Alalau OR Anama OR Anaua OR Andma OR Apiaca OR Apiau OR Apidia OR Araca OR Araua OR Arinos OR Aripuana OR Arracias OR Arrairas OR Bacaja OR Bau OR Bia OR Brea OR Buriti OR Cach.Do Tareraimbu OR Cachoeir da Bateria OR Cachoeira Caracarai OR Cachoeira das Sete Quadas OR Cachoeira de Rebojo OR Cachoeira do Desatre OR Cachoeira do Pimena OR Cachoeira dos Indios OR Cachoeira Grande OR Cachoeira Ipada OR Cachoeira Ipanore OR Cachoeira Maranhao Grande OR Cachoeira Mergulhao OR Caluene OR Camanaa OR Camarure OR Canuma OR Capucapu OR Carabinuni OR Carajari OR Catete OR Catrimani OR Cauaburi OR Caures OR Cautario OR Chiche OR Coari OR Cotingo OR Crarari OR Crepori OR Cuiaba OR Cuiani OR Culiseu OR Cura do Sal OR Curicariari OR Curiuau OR Curu OR Curua OR Curua Una OR Curuaes OR Curuca OR Daraa OR Demini OR Demiti OR Do Paulo OR Embari OR Embira OR Fagundes OR CAPS(Ferro) OR CAPS(Fresco) OR Gregorio OR CAPS(Ia) OR CAPS(Ica) OR Igara Parana OR Imabu OR Infari OR Ipixuna OR Iriri OR Iriri Novo OR Itacuai OR Itari OR Itata OR Itaxi OR Itiguira OR Jaa OR Jamanxim OR Jamari OR Jandiatuba OR Japura OR Jaraucu OR Jari OR Jaru OR Jatapa OR Jatoba OR Jau OR Jauaperi OR Jiparana OR Jotoba OR Juina OR Jurua OR Juruena OR Jutai OR Uberaba OR de Sapucua OR do Erepeca OR Gaibo OR Grande de Manacapuru OR Mandiore OR Lago Canacari OR Liberdade OR Madeira OR Madeirinha OR Maicara OR Majari OR Mamore OR Manicana Micu OR Manso OR Mapuera OR Marapi OR Marauia OR Marie OR Maues OR Moaco OR Mucajai OR Mucucuau OR Nhamunda OR Nivo OR Padauiri OR Papagaio OR CAPS(Para) OR Paranarta OR Pareis OR Paru de Oeste OR Pauini OR CAPS(Paz) OR Peixes OR Peixoto de Azevedo OR Pinhua OR Piratucu OR Preto OR CAPS(Puras) OR Purue OR Purus OR Riozinho OR Ronuro OR Rpresa da Balbina OR Sacuriuina OR Salao OR Sangue OR Sao Benedito OR Sao Lourenco OR Sao Tume OR Sauenina OR Saueruina OR Solimooes OR Soterio OR Steinen OR Sucanduri OR Suir Micu OR Suluene OR Suramu OR Surumu OR Tamitatoula OR Batovi OR Tanguro OR Tapajos OR Tapaua OR Tapera OR Taruaca OR Tauini OR CAPS(Tea) OR Tefe OR Teles Pires  OR Sao Manuel OR Theodore Roosevelt OR Tocantins OR CAPS(Triunfo) OR Uatuma OR Uneiaxi OR Unini OR Uraca OR Uraricoera OR Uruba OR Urubaxi OR CAPS(Verde) OR Vveni OR Xeriuini OR Xie OR Xingu OR Xirua OR Yavare OR Ajaju OR Apaporis OR Caqueta OR Cuduyari OR Icana OR Isasna OR Papuri OR Quainia OR Raudal Yupurari OR Devil's Cataract OR Tiquie OR Traira OR Uaupes OR Yari OR Curaray OR Morona OR Cafuini OR Ireng OR Tacutu OR CAPS(Acre) OR Allto Purus OR Apurimac OR CAPS(Blanco) OR Chandless OR CAPS(Chili) OR Correntes OR Heath OR Huallaga OR Iaco OR Inambari OR Inuya OR Jarua OR Manu Madre de Dios OR Manuripi OR Maranon OR Moranon OR Napo OR Orton OR Pachitea OR Pampas OR Postaza OR Putumayo OR San Juan OR Santa Ana OR Santa Eulalia OR Santuario OR Sheshea OR Tamuya OR Tapiche OR CAPS(Tigre) OR Ucayali OR Urabamba OR Yavari OR Trombetas OR Biria OR Casiquiare OR Concorochite OR CAPS(Grande) OR CAPS(Negro)</t>
  </si>
  <si>
    <t>AMZN</t>
  </si>
  <si>
    <t>Amazon</t>
  </si>
  <si>
    <t>Molly</t>
  </si>
  <si>
    <t>An Nahr Al Kabir OR Nahr Ibrahim</t>
  </si>
  <si>
    <t>ANAK</t>
  </si>
  <si>
    <t>An Nahr Al Kabir</t>
  </si>
  <si>
    <t>Angerman</t>
  </si>
  <si>
    <t>ANGE</t>
  </si>
  <si>
    <t>Annole</t>
  </si>
  <si>
    <t>ANNL</t>
  </si>
  <si>
    <t xml:space="preserve">Rachel </t>
  </si>
  <si>
    <t>No Results</t>
  </si>
  <si>
    <t>Aral OR Syr Daria OR Naryn OR Amu Daria OR Syr Darya OR Amu Darya OR Akhangaran OR Chirchik</t>
  </si>
  <si>
    <t>ARAL</t>
  </si>
  <si>
    <t>Aral Sea</t>
  </si>
  <si>
    <t>Asi OR Orontes OR Amik Golu</t>
  </si>
  <si>
    <t>ASIX</t>
  </si>
  <si>
    <t>Asi/Orontes</t>
  </si>
  <si>
    <t>Artibonite OR Depeligre</t>
  </si>
  <si>
    <t>ATBN</t>
  </si>
  <si>
    <t>Artibonite</t>
  </si>
  <si>
    <t>Astara Chay</t>
  </si>
  <si>
    <t>ATCY</t>
  </si>
  <si>
    <t>Atrak OR Sumber</t>
  </si>
  <si>
    <t>ATRK</t>
  </si>
  <si>
    <t>Atrak</t>
  </si>
  <si>
    <t>Aviles</t>
  </si>
  <si>
    <t>AVLS</t>
  </si>
  <si>
    <t>Abhe Bid Hayak OR Awash OR Finochaa OR Gemeri Hayak OR Petit Akabi OR Sendafa</t>
  </si>
  <si>
    <t>AWSH</t>
  </si>
  <si>
    <t>Awash</t>
  </si>
  <si>
    <t>Aysen</t>
  </si>
  <si>
    <t>AYSN</t>
  </si>
  <si>
    <t>Baker OR Cochrane</t>
  </si>
  <si>
    <t>BAKR</t>
  </si>
  <si>
    <t>Baker</t>
  </si>
  <si>
    <t>Bann OR CAPS(Black Water) OR Laugh Neagh OR CAPS(Lower Laugh) Erine</t>
  </si>
  <si>
    <t>BANN</t>
  </si>
  <si>
    <t>Bann</t>
  </si>
  <si>
    <t>Bahr at Tubat</t>
  </si>
  <si>
    <t>BATU</t>
  </si>
  <si>
    <t>Bidasoa</t>
  </si>
  <si>
    <t>BDSO</t>
  </si>
  <si>
    <t>Benito OR Ntem</t>
  </si>
  <si>
    <t>BENT</t>
  </si>
  <si>
    <t>Benito/Ntem</t>
  </si>
  <si>
    <t>Bia</t>
  </si>
  <si>
    <t>BIAX</t>
  </si>
  <si>
    <t>Beilun</t>
  </si>
  <si>
    <t>BLUN</t>
  </si>
  <si>
    <t>Belize OR Mopan</t>
  </si>
  <si>
    <t>BLZE</t>
  </si>
  <si>
    <t>Belize</t>
  </si>
  <si>
    <t>Bangau</t>
  </si>
  <si>
    <t>BNGU</t>
  </si>
  <si>
    <t>Oued Bou Namoussa</t>
  </si>
  <si>
    <t>BNSA</t>
  </si>
  <si>
    <t>Berbyelva</t>
  </si>
  <si>
    <t>BRBY</t>
  </si>
  <si>
    <t>No results</t>
  </si>
  <si>
    <t>Baraka</t>
  </si>
  <si>
    <t>BRKA</t>
  </si>
  <si>
    <t>Barima</t>
  </si>
  <si>
    <t>BRMA</t>
  </si>
  <si>
    <t>Barta</t>
  </si>
  <si>
    <t>BRTA</t>
  </si>
  <si>
    <t>Buzi OR Rio Revue OR Chibudzana OR Nyanhombo OR CAPS(Rio) OR Sterkstroom</t>
  </si>
  <si>
    <t>BUZI</t>
  </si>
  <si>
    <t>Buzi</t>
  </si>
  <si>
    <t>Caetani</t>
  </si>
  <si>
    <t>CAET</t>
  </si>
  <si>
    <t>Ca OR Song Lam</t>
  </si>
  <si>
    <t>CAXX</t>
  </si>
  <si>
    <t>Ca/Song Lam</t>
  </si>
  <si>
    <t>Candelaria</t>
  </si>
  <si>
    <t>CDLR</t>
  </si>
  <si>
    <t>Changuinola</t>
  </si>
  <si>
    <t>CGNL</t>
  </si>
  <si>
    <t>Carmen Silva OR Chico</t>
  </si>
  <si>
    <t>CHIC</t>
  </si>
  <si>
    <t>Carmen Silva/Chico</t>
  </si>
  <si>
    <t>Chira</t>
  </si>
  <si>
    <t>CHIR</t>
  </si>
  <si>
    <t>Choluteca</t>
  </si>
  <si>
    <t>CHLT</t>
  </si>
  <si>
    <t>Chuy</t>
  </si>
  <si>
    <t>CHUY</t>
  </si>
  <si>
    <t>Colorado OR CAPS(Alamo Lake) OR Alamosa OR Bartlett OR CAPS(Big) Sundy OR Bill Williams OR CAPS(Bitter Creek) OR CAPS(Blue Mesa Reservior) OR Bouse  OR Bug Chino  OR CAPS(Bullfrog) OR CAPS(Burro) Creek OR Canon Largo OR Chaco Chinle OR CAPS(Cherry Creek) OR Colorado  OR CAPS(Comb) OR CAPS(Conejos) OR CAPS(Cottonwood) OR Crtstal OR CAPS(Dad Clark Gulch) OR CAPS(Dirty Devil) OR Dolores OR Duchesne OR Schwacheim Creek OR CAPS(East Bitter Creek) OR CAPS(East Verde) OR Escalante OR Florida OR Fremont OR Gannison OR Gila OR CAPS(Green) OR Halls Creek OR Hassayampu OR Imperial Reservior OR Kanab Creek OR Lake Havase OR Lake Mead OR Lake Mohave OR Lake Powell OR CAPS(Los Pinos) OR Mancos OR CAPS(Moon Lake) OR CAPS(Muddy Creek) OR Navajo Reservior OR OR CAPS(Nine Mile Creek) OR CAPS(Oak Creek) OR Paria OR Piceance Creek OR Pinon Canyon Arroyo OR CAPS(Price) OR Purgatoire OR Roan Creek OR Roaring Fork OR Rock Creek OR Sacramento OR San Juan OR San Miguel OR San Rafael OR Santa Maria OR Senac Creek OR Show Low Creek OR Stinking Lake OR Strawberry Reservior OR CAPS(Taylor) OR Trout Creek OR Uinta OR Uncompahagre OR  OR West Toll Gate Creek OR  OR CAPS(Willow Creek) OR CAPS(Yellow Creek)</t>
  </si>
  <si>
    <t>CLDO</t>
  </si>
  <si>
    <t>Colorado</t>
  </si>
  <si>
    <t>Chilkat</t>
  </si>
  <si>
    <t>CLKT</t>
  </si>
  <si>
    <t>Columbia OR Christina Lake OR Clolumbia OR Columbia Lake OR CAPS(Cranberry) OR Duncan Lake OR CAPS(Dutch) OR Findlay OR CAPS(Fry) OR CAPS(Goat) OR Hosethief OR Kootenay OR Kootenay Lake OR Lardean OR Lower Arrow Lake OR Skaha Lake OR Slocan Lake OR Upper Arrow Lake OR Whiteswan Lake OR Windermere Lake OR Banks Lake OR Bunt OR Burrell OR Butter OR Chewuch OR CAPS(Crab) OR CAPS(Crater) OR CAPS(Crooked) OR Deschutes OR Grandy OR Imnaha OR Jon Day OR Joseph Cr OR Kalama OR Klickitat OR Lake Chelan OR Lake Owyhee OR Lake Pend Ireukke OR CAPS(Billy Chinook) OR Little Crater Creek OR Little Malheur OR Lostine OR Lower Willow Creek OR Malheur OR McKenzie OR Meadow Creek OR Methow OR Middle Creek OR CAPS(Middle Fork) OR Minam OR CAPS(Mine Creek) OR Moses Lake OR N Fork Sanpoil OR N Fork Jon Day OR North Fork OR North Fork Sugar Creek OR North Santiam OR North Sugar Creek OR Ochoco Lkae OR Okanogan OR Omak Lake OR Osoyoos Lake OR Owyhee OR Palouse OR Pend Oreille OR Pleasany Creek OR Pole Creek OR Potholes OR Potlatch OR CAPS(Powder) OR Prineville  OR CAPS(Rock) OR Roosevelt Lake OR Rufus Woods Lake OR CAPS(Salmon) OR Sanpoil OR CAPS(Snake) OR South Santiam OR St. Joe OR St. Maries OR Troublesome Creek OR Trout Creek OR Tumalo OR Turkey Creek OR Umatilla OR Ute Creek OR Wala Wala OR Wallowa OR Wallowa Lake OR CAPS(Warm Springs) OR Wenaha OR West Little Owyhee OR Willamette OR Williams Fork OR Willow Creek OR Yakima</t>
  </si>
  <si>
    <t>CLMB</t>
  </si>
  <si>
    <t>Columbia</t>
  </si>
  <si>
    <t>Chiloango</t>
  </si>
  <si>
    <t>CLNG</t>
  </si>
  <si>
    <t>no results</t>
  </si>
  <si>
    <t>Cancoso OR Lauca OR Lagoon de Coipasa</t>
  </si>
  <si>
    <t>CNCS</t>
  </si>
  <si>
    <t>Cancoso/Lauca</t>
  </si>
  <si>
    <t>Connecticut</t>
  </si>
  <si>
    <t>CNCT</t>
  </si>
  <si>
    <t>Congo OR Zaire OR Cambo OR Chiumbe OR Cuilo OR Luangue OR Lui OR Uamba OR Borodo OR Chinko OR Kotto OR Lim OR Lobaya OR Mambere OR Mbali OR Mbari OR Mpoko OR Ouaka OR Ouarra OR Pama OR Bek OR Boumba OR Boumbe II OR Dja OR Doume OR Kadei OR Aka OR Aruwimi OR Asa OR Bakali OR Bilati OR Bili OR Bima OR Bolmobo OR Bomu OR Bushmaie OR Bwere OR Chicapa  OR Damu OR Dengu OR Dua OR Dungu OR Duru OR Ebola OR Elila OR Fimi OR Gada OR Gangu OR Garamga OR Giri OR Gurba OR Gwane OR Ibina OR Ikelemba OR Inzia OR Itimbiti OR Ituri OR Kama OR Kaongesh OR Kapili OR Kasai OR Cassai OR Kibali OR Kwango OR Cuango OR Kwenge OR Kwilu OR Lac de Retenue OR Lac Mai Ndombe OR Lac Ntomba OR LacUpembo OR Lake Mweru  OR Lenda OR Likati OR Lindi OR Loange OR Loile OR Lokolo OR Lokoro OR Lomako OR Lomami OR Lomlera OR Lopori OR Lovua OR Luachimo OR Lualaba OR Luama OR Lubadi OR Lubefu OR Lubi OR Lubilash OR Lubudi OR Lubue OR Lubuero OR Luembe OR Lueo OR Lueob OR Lueta OR Lufira OR Luilaka OR Luilu OR Luizi OR Lukashi OR Lukeni OR Lukuga OR Lukunga OR Lulonga OR Lulua OR Lupweji OR Lushiko OR Lutshima OR Luvidjo OR Luvua OR Maiko OR Maringa OR Momboyo OR Mongala OR Nagaya OR Nava OR Nepoko OR Nzoro OR CAPS(Oso) OR Pool Malebo OR Rubi OR Ruki Bushira OR Salonga OR Sankuru OR Shiuapa OR Tele OR Tshopo OR Ubangi OR Oubngai OR Uele OR Uere OR Ulindi OR Wamba OR Yenge OR Alima OR Djoue OR Elia OR Ibenga OR Kandeko OR Kouyou OR Lefini OR Lengoue OR Likouala OR Likuala OR Lowa OR Lugulu OR Mambili OR Opa OR Motaba OR Ngoko OR N'keni OR Oubangi OR Ubungi OR Sangha OR Lake Bangweula OR Lake Mweru Luapula OR Luapula</t>
  </si>
  <si>
    <t>CNGO</t>
  </si>
  <si>
    <t>Congo/Zaire</t>
  </si>
  <si>
    <t>CAPS(Coco) OR Segovia OR Amaka OR Bocay OR Waspuk</t>
  </si>
  <si>
    <t>COCO</t>
  </si>
  <si>
    <t>Coco/Segovia</t>
  </si>
  <si>
    <t>Comau</t>
  </si>
  <si>
    <t>COMA</t>
  </si>
  <si>
    <t>CAPS(Copper)</t>
  </si>
  <si>
    <t>COPR</t>
  </si>
  <si>
    <t>Copper</t>
  </si>
  <si>
    <t>CAPS(Cross)</t>
  </si>
  <si>
    <t>CROS</t>
  </si>
  <si>
    <t>Cross</t>
  </si>
  <si>
    <t>Corantijn OR Courantyne</t>
  </si>
  <si>
    <t>CRTY</t>
  </si>
  <si>
    <t>Corantijn/Courantyne</t>
  </si>
  <si>
    <t>Coruh</t>
  </si>
  <si>
    <t>CRUH</t>
  </si>
  <si>
    <t>Castletown</t>
  </si>
  <si>
    <t>CSTL</t>
  </si>
  <si>
    <t>Cestos OR Nuon</t>
  </si>
  <si>
    <t>CSTO</t>
  </si>
  <si>
    <t>Cestos</t>
  </si>
  <si>
    <t>Coatan Achute</t>
  </si>
  <si>
    <t>CTAT</t>
  </si>
  <si>
    <t>Cetina</t>
  </si>
  <si>
    <t>CTNA</t>
  </si>
  <si>
    <t>Catatumbo</t>
  </si>
  <si>
    <t>CTTB</t>
  </si>
  <si>
    <t>Cullen</t>
  </si>
  <si>
    <t>CULL</t>
  </si>
  <si>
    <t>Cavally OR Dube</t>
  </si>
  <si>
    <t>CVLY</t>
  </si>
  <si>
    <t>Cavally</t>
  </si>
  <si>
    <t>Corovode OR Flog OR Prishte OR Almbach OR Attersee OR Danube OR Donau OR Drau OR Enns OR Fischa OR Freibach OR Glan OR Gurk OR Hollersbach OR Ill OR Kamp OR Lutz OR Moell OR Mur OR Murz OR Naarn OR Otzaler Ache OR Piesting OR Salza OR Steyr OR Stubache OR Traisen OR Traun OR Traunsee OR Wagrainer Ache OR Worther See OR Ybbs OR Zamser Bach OR Zemm OR Ziller OR Dabnika OR Dere OR Iskar OR Iskur OR Lajenska bara OR Lom OR Lomoashko dere OR Ogosta OR Osum OR Rositsa OR Skut OR Tuchenishka reka OR Vit OR Yantra OR Yazovir A. Stamboliyski OR Yazovir Iskur OR Drinjaca OR Musnica OR Vrba OR Jihlava OR Morava OR Jihalva OR Markovka OR Sveceny potok OR Svratka OR Amper OR Asenbach OR Breg OR Brigach OR Chamb OR Chiem see OR Forvven see OR Glonn OR Gunz OR Iller OR Ilz OR Isar OR Lech OR Naab OR Paar OR Riss OR Rot OR Rott OR Rottach OR Salzach OR Vils OR Walchen see OR Wertach OR Zusam OR Bednja OR Karasica OR Vuka OR Balaton OR Ipoly OR Kapos OR Koppany OR Koros OR Lajta OR Leitha OR Marcal OR Raba OR Sarviz sio OR CAPS(Sio) OR Szaraz Er OR Velencei To OR CAPS(Inn) OR Spol OR Ialpag OR  Amaradia OR Arges OR Bahluet OR Bahlui OR Barzava OR Basca mare OR Baseul OR Batul OR Bega OR Belareca OR Berheci OR Bicaz OR Birlad OR Bistra OR Bistrita OR Bistrita Ardealului OR Bizaya OR Borcea OR Brarul Salina OR Bratul Chilia OR Bratul Sfintu Gheorghe OR Buzau OR Calmatui OR Cerna OR Cernas OR Colentina OR Cotorca OR Cumpana OR Desnatui OR Dimbovita OR Doamnei OR Drincea OR Dunarea OR Gilort OR Gologan OR Gurguiata OR Ialomita OR Jijia OR Jiu OR Callarasi OR Lacal Brates OR Lacul Cabal OR Lacul Greaca OR Lacul Potelu OR Lacul Suhaia OR Lisova OR Moldova OR Mostistea OR Mostru  OR Motru OR Mures OR Maros OR Neajlov OR Olanesti OR Olt OR Oltet OR Pereschiv OR Podriga OR Poganis OR Prahova OR Putna OR Raul Doamnei OR Rimna OR Rimnic OR Sebes OR Simila OR Sitna OR Suceave OR Teleorman OR Timis OR Tutova OR Valea Seaca OR Valsan OR Vedea OR Cierny Vah OR Dunaj OR Jablonianka OR Teplicka OR  OR Drava OR Ipel OR Ipoli OR Hron OR Nitra OR Vah OR Cheremosh OR Ozero Kahul OR Ozero Katlabukh OR Ozero Kytay OR Ozero Yapuh OR Prut OR Siret OR Beli Rzav OR Beli Timok OR Binacka Morava OR Bosut OR Brzava OR Caras OR Cehotina OR Crni Radalj OR Detinja OR Drina OR Grliska Reka OR Ibar OR Jablanica OR Jadar OR Jasenica OR Juzna Morava OR Kolubara OR Krivaja OR Lim OR Lipovica OR Mlava OR Moravica OR Nisaua OR Pek OR Piva OR Raska OR Resava OR Sava OR Silinica OR Tamis OR Tamnava OR CAPS(Tara) OR Timok OR Tisa OR Toplica OR Uvac OR Velika Morava OR Zapadna Morava</t>
  </si>
  <si>
    <t>DANU</t>
  </si>
  <si>
    <t>Danube</t>
  </si>
  <si>
    <t>Daoura</t>
  </si>
  <si>
    <t>DAUR</t>
  </si>
  <si>
    <t>Digul</t>
  </si>
  <si>
    <t>DIGL</t>
  </si>
  <si>
    <t>Dnieper OR Byarezina OR Pinsk Marshes OR Ptsich OR Sozh OR Iput' OR Desna OR Dniepr OR Horyn' OR Inhulets OR Kremenchats'ke Vdskh OR Prypyats' OR Ps'ol OR Seym OR Sluch OR Snov OR Stokhid OR Styr OR Sula OR Uzh OR Vopskla OR</t>
  </si>
  <si>
    <t>DNPR</t>
  </si>
  <si>
    <t>Dnieper</t>
  </si>
  <si>
    <t>Dniester OR Dniestr OR Seret</t>
  </si>
  <si>
    <t>DNSR</t>
  </si>
  <si>
    <t>Dniester</t>
  </si>
  <si>
    <t>CAPS(Don) OR Kalaus OR Khoper OR Medreditsa OR Oskol OR Oz Manych Gudilo OR Sal OR Sir. Donets OR Sosna OR Tsimlyanskoye Vdkhr OR Vorona OR Voronezh</t>
  </si>
  <si>
    <t>DONX</t>
  </si>
  <si>
    <t>Don</t>
  </si>
  <si>
    <t>Dragonja</t>
  </si>
  <si>
    <t>DRAG</t>
  </si>
  <si>
    <t>Dra OR Qued Zemoul OR Qued Dades</t>
  </si>
  <si>
    <t>DRAX</t>
  </si>
  <si>
    <t>Dra</t>
  </si>
  <si>
    <t>Cemerice OR Drin OR Drinizi OR Fshat OR Gjemon OR Gjonc OR Kamenice OR Kasaj OR Lavdan OR Leminot OR Markez OR Ohridsko Jezero OR Lake Ohrid OR Prifte OR Sopale OR Teqese OR T'plan OR Tropoje OR Verlen OR Zberga OR Beli Drim OR Pecska Bistrica</t>
  </si>
  <si>
    <t>DRIN</t>
  </si>
  <si>
    <t>Drin</t>
  </si>
  <si>
    <t>Dasht</t>
  </si>
  <si>
    <t>DSHT</t>
  </si>
  <si>
    <t>Drysa OR Dzirina Zakh OR Dzisna OR Voz Drysvyaty OR Voz Snudy OR Levuo OR Aiviekeste OR Berze OR Daugava OR Lecaba OR Lielupe OR Lubanas Ezers OR Lucava OR Maita OR Memele OR Misa OR Musa OR Ogre OR Pededze OR Reznas Ezers OR Rusonu Ezers OR Sivera Ezers OR Svete</t>
  </si>
  <si>
    <t>DUGV</t>
  </si>
  <si>
    <t>Daugava</t>
  </si>
  <si>
    <t>Adaja OR Aliste OR Bembezar OR Bibey OR Cea OR Cega OR Duero OR Embalse de Saucelle OR Embalse de Barropis de Luna OR Embalse De Linares OR Embalse de Richobayo OR Embalse de santa Teresa OR Embalse del Agueda OR Embalse de Almendra OR Embalse de Burgomillodo OR Embalse de la Cuerda del pozo OR Eresma OR Eria OR Esgueva OR Esla OR Espartero OR Guarena OR Huebra OR Largo de Sanabria OR Mourela OR Orbigo OR Porma OR Retortillo OR San Miguel OR Sequillo OR Tera OR Torio OR Tormes OR Travancos OR Valderaduey OR Valdesirgas OR Yeltes OR Agueda OR Arcosso OR Cabrum OR Cavado OR Coa OR Douro OR Embalse alse de Saucelle OR Embalse de Aldeadavila OR Paiva OR Rabacal OR Rabagao OR CAPS(Sabor) OR CAPS(Sabroso) OR CAPS(Seco) OR CAPS(Sordo) OR Tamega OR Tavora OR Tua OR Tuela OR Varosa</t>
  </si>
  <si>
    <t>DURO</t>
  </si>
  <si>
    <t>Douro/Duero</t>
  </si>
  <si>
    <t>CAPS(Aguas Limpias) OR Al canadre OR Ara OR Aragon OR Arba OR Arga OR Barranco El Grado OR Bergantes OR Cinca OR Ebro OR Embalse de Santolea OR Embalse de Sotonera OR Embalse de Canelles OR Embalse de Mediano OR Embalse de Santa Anna OR Embalse de Talarn OR Embalse de Yesa OR Embalse de Mequinenza OR Esca OR Escarra OR Esera OR Espot OR Gallego OR Guadalope OR Huerva OR Irati OR Jalon OR Jiloca OR Lago Arriel OR Martcn OR Noguera Pallaresa OR Noguera Ribagorzana OR Panta de Riva-roga OR Peguera OR Pineta OR Riguel OR Segre OR Somero OR Urdiceto</t>
  </si>
  <si>
    <t>EBRO</t>
  </si>
  <si>
    <t>Ebro</t>
  </si>
  <si>
    <t>Elbe OR Bilina OR Moricuv potok OR Mze OR Odrava OR Ohre OR Ploucnice OR Radbuza OR Tepla OR Aland OR Alster OR Biese OR Bleiloch Talsperre OR Bode OR Do sse OR Dumme OR Ehle OR Fiener Bruch OR Fuhne OR Havel OR Ilm OR Jeetzel OR Kalte Bode OR Milde OR Mulde OR Rappbode OR Saale OR Schaal see OR Schilde OR Schwarze Elster OR Selke OR Stepenitz OR Stor OR Sude OR Uchte OR Wipper OR Zillierbach</t>
  </si>
  <si>
    <t>ELBE</t>
  </si>
  <si>
    <t>Elbe</t>
  </si>
  <si>
    <t>Elancik</t>
  </si>
  <si>
    <t>ELNK</t>
  </si>
  <si>
    <t>Erne OR Lower Lough Erne OR Upper Lough Erne</t>
  </si>
  <si>
    <t>ERNE</t>
  </si>
  <si>
    <t>Erne</t>
  </si>
  <si>
    <t>Essequibo OR Burro-Burro OR Illiwa OR Kwitaro OR Mazarani OR Mazaruni OR Rupununi OR Siaruni OR Takutu OR Tacuta OR Cuyuni</t>
  </si>
  <si>
    <t>ESQB</t>
  </si>
  <si>
    <t>Essequibo</t>
  </si>
  <si>
    <t>Cuvelai OR Etosha</t>
  </si>
  <si>
    <t>ETOS</t>
  </si>
  <si>
    <t>Cuvelai/Etosha</t>
  </si>
  <si>
    <t>Fane</t>
  </si>
  <si>
    <t>FANE</t>
  </si>
  <si>
    <t>CAPS(Flurry)</t>
  </si>
  <si>
    <t>FLRY</t>
  </si>
  <si>
    <t>Flurry</t>
  </si>
  <si>
    <t>CAPS(Fly)</t>
  </si>
  <si>
    <t>FLYX</t>
  </si>
  <si>
    <t>Fly</t>
  </si>
  <si>
    <t>Fenney</t>
  </si>
  <si>
    <t>FNNY</t>
  </si>
  <si>
    <t>Foyle</t>
  </si>
  <si>
    <t>FOYL</t>
  </si>
  <si>
    <t>Fraser OR Adams OR Adams Lake OR Akie OR Baezaeko OR CAPS(Big Creek) OR CAPS(Blueberry) OR Bonaparte OR Bowron OR Cameron OR Canim Lake OR Carp Lake OR Chilcotin OR Chilko OR Chilko Lake OR Chillwack OR Chillwack Lake OR Crooked OR Doig OR CAPS(Driftwood) OR Eutsuk Lake OR Finlay OR Francois Lake OR Gamsby OR CAPS(Gardner Canal) OR CAPS(Graham) OR CAPS(Green) Lake OR CAPS(Halfway) OR Herrick OR CAPS(Horsefly) Lake OR Ingenika OR Kitlope OR Kwadacha OR Lillooet Lake OR Mabel Lake OR Maligne Lake OR Mc Gregor OR McLeod Lake OR Mesilinka OR Milligan Creek OR Murphy Lake OR Murtle Lake OR Nachako OR Nation OR Nazko OR Nechako OR Nechako Reservoir OR Nicola OR North Thomson OR Omineca OR Ootsa Lake OR Osilinka OR Ospika OR CAPS(Peace) OR Pinchi Lake OR CAPS(Pine) OR Quesnel OR Quesnel Lake OR CAPS(Salmon) OR Shuswap Lake OR Skagit OR Stuart OR Stuart Lake OR Takla Lake OR Taseko OR Testachuck Lake OR Thomson OR Tohtsa Lake OR Trenbleur Lake OR Tsacha Lake OR West Road OR Whit Sail</t>
  </si>
  <si>
    <t>FRSR</t>
  </si>
  <si>
    <t>Fraser</t>
  </si>
  <si>
    <t>10k+</t>
  </si>
  <si>
    <t>Firth OR Joe OR Mancha</t>
  </si>
  <si>
    <t>FRTH</t>
  </si>
  <si>
    <t>Firth</t>
  </si>
  <si>
    <t>Gallegos OR CAPS(Chico)</t>
  </si>
  <si>
    <t>GALG</t>
  </si>
  <si>
    <t>Gallegos/Chico</t>
  </si>
  <si>
    <t>Gambia OR Sandougou</t>
  </si>
  <si>
    <t>GAMB</t>
  </si>
  <si>
    <t>Gambia</t>
  </si>
  <si>
    <t>Ganges OR Brahmaputra  OR Meghna OR Jamuna OR Yarlung OR Raka OR Maquan OR Yi'ong OR Arunavati OR Baitha Nalla OR Banjari Nalla OR Barotha Nalla OR Basuki OR Betwa OR Bhat OR Bhima OR Bhudna Nalla OR Bora Nala OR Bori Nalla OR Bori OR Brah Maputra OR Buchaopa Nala OR Budhabudiani OR Chakar OR Chambal OR Chandrakeshar OR Deogud OR Dhu'sia Nalla OR Dibgrajheda OR Dihang OR Dongrakheda OR Erai OR Gamori OR Gandak OR Ganji OR Gej OR Ghaghara OR Ghod OR Ghunghutta OR Gomati OR CAPS(Human) OR Jamni OR Jhumka OR Jhura OR Kanoli OR Kans OR Ken OR Khakra Jore OR Khaprar Nalla OR Kharpara OR Kims Nalla OR Koop Nalla OR Kundan Nalla OR Lakheri OR Local Drain OR Manas OR Mandale OR Maska Nalla OR Mayurakshi OR Momanpura OR Moti Nalla OR Mutki OR Nagda Nalla OR Negri OR Pahuj OR Paras OR Paronch OR Pathrai OR Phon OR Pip Nalla OR Rajewasti OR Rohini OR Sagar Betwa OR Sajnam OR Sampna OR Saprar OR Sarda OR Shahjad OR Shetfal Nalla OR Sijar OR Sind OR Sindh Nalla OR Sindh Yamuna OR Son OR Songhua OR Subarnarekha OR Surhi OR Takli Kheda OR Tapti OR Tisla OR Uttari Stream OR Vel OR Yamuna OR Arun OR Karnali OR Sapt Kosi OR Sun Kosi OR Tamur</t>
  </si>
  <si>
    <t>GANG</t>
  </si>
  <si>
    <t>Ganges-Brahmaputra-Meghna</t>
  </si>
  <si>
    <t>Gash</t>
  </si>
  <si>
    <t>GASH</t>
  </si>
  <si>
    <t>Geba OR Corubal OR Kayanga</t>
  </si>
  <si>
    <t>GEBA</t>
  </si>
  <si>
    <t>Geba-Corubal</t>
  </si>
  <si>
    <t>Grijalva OR Grijalva OR CAPS(Azul)</t>
  </si>
  <si>
    <t>GJLV</t>
  </si>
  <si>
    <t>Grijalva</t>
  </si>
  <si>
    <t>Glama</t>
  </si>
  <si>
    <t>GLAM</t>
  </si>
  <si>
    <t>Galana</t>
  </si>
  <si>
    <t>GLNA</t>
  </si>
  <si>
    <t>Golok</t>
  </si>
  <si>
    <t>GLOK</t>
  </si>
  <si>
    <t>Goascoran</t>
  </si>
  <si>
    <t>GOSR</t>
  </si>
  <si>
    <t>Affluent du Lot OR Agout OR Alrance OR Ariege OR Arrats OR Aveyron OR Bage OR Baise OR Ceret OR Cerou OR Dadou OR Dourdou OR Dropt OR Garonne OR Gelise OR Gers OR Gesse OR Gimone OR Labenede OR Lezert OR Lot OR Osse OR Save OR Tarn OR Tolerme OR CAPS(Touch) OR Truel OR Truyere OR Valescure OR Vebre OR Viaur OR Vioulou OR Ardila OR Campilhas OR Chanca OR Cobres OR Dogeba OR Odivelas OR Roxo OR Vale Diogo OR Vascao OR Xarrama</t>
  </si>
  <si>
    <t>GRON</t>
  </si>
  <si>
    <t>Garonne</t>
  </si>
  <si>
    <t>Gruzskiy Yelanchik</t>
  </si>
  <si>
    <t>GRYE</t>
  </si>
  <si>
    <t>CAPS(Great) Scarcies</t>
  </si>
  <si>
    <t>GSCR</t>
  </si>
  <si>
    <t>Great Scarcies</t>
  </si>
  <si>
    <t>Guadiana</t>
  </si>
  <si>
    <t>GUDN</t>
  </si>
  <si>
    <t>Guir</t>
  </si>
  <si>
    <t>GUIR</t>
  </si>
  <si>
    <t>Gauja</t>
  </si>
  <si>
    <t>GUJA</t>
  </si>
  <si>
    <t>Anpyung OR Banbyon OR Bongjeon OR Buk OR Chachon OR Chongyong OR Chungdo OR Dae OR Donghwa OR Eumsung OR Gabsan OR Geumho OR Geumpo OR Gisegok OR Guan OR Gugeo OR Gumi OR Gupyung OR Gyungho OR CAPS(Han) OR Hangye OR Ieon OR Ilgwang OR Janggok OR Jangsu OR Jasan OR Jinchon OR Jinwi OR Jongri OR Joryong OR Jungdong OR Milwon OR Mulchi OR Munam OR Myungam OR Naega OR Naesung OR Nakdong OR Namhan OR Pumgok OR Sagae OR Samgi OR Seokhwa OR Soga OR Suyeong OR Suyong OR Wangjwa OR Woldong OR Yo OR Yongchon OR Yongge OR Yongwoon OR Chongryong OR Hanchon</t>
  </si>
  <si>
    <t>HANX</t>
  </si>
  <si>
    <t>Han</t>
  </si>
  <si>
    <t>Hari OR Harirud</t>
  </si>
  <si>
    <t>HARI</t>
  </si>
  <si>
    <t>Hari/Harirud</t>
  </si>
  <si>
    <t>Hamun I Mashkel OR Rakshan</t>
  </si>
  <si>
    <t>HIMR</t>
  </si>
  <si>
    <t>Hamun-i-Mashkel/Rakshan</t>
  </si>
  <si>
    <t>Results only availabel for years 2014-2019</t>
  </si>
  <si>
    <t>Ab-e Istadeh-ye OR Arghanadab OR Dasht-e Nuvar OR Hamuh-e  Puzak OR Helmand OR Rowd-e Lurah OR Tarnak OR Kor OR Sivand</t>
  </si>
  <si>
    <t>HLMD</t>
  </si>
  <si>
    <t>Helmand</t>
  </si>
  <si>
    <t xml:space="preserve">Hondo OR CAPS(Azul) </t>
  </si>
  <si>
    <t>HOND</t>
  </si>
  <si>
    <t>Hondo</t>
  </si>
  <si>
    <t>Har Us Nur</t>
  </si>
  <si>
    <t>HRUN</t>
  </si>
  <si>
    <t>Hsi OR Bei Jiang OR Dachun He OR Lian Jiang OR Liangjiang OR Maotiao He OR Miaotiaohe OR Sancha He OR Sanchahe OR Weijang OR Wengjiang</t>
  </si>
  <si>
    <t>HSIX</t>
  </si>
  <si>
    <t>Bei Jiang/Hsi</t>
  </si>
  <si>
    <t>Incomati OR Komati</t>
  </si>
  <si>
    <t>ICMT</t>
  </si>
  <si>
    <t>Incomati</t>
  </si>
  <si>
    <t>Ili OR Kunes He OR Illi OR Malaya Almaatinka</t>
  </si>
  <si>
    <t>ILIX</t>
  </si>
  <si>
    <t>Ili/Kunes He</t>
  </si>
  <si>
    <t>Indalsalven</t>
  </si>
  <si>
    <t>INDL</t>
  </si>
  <si>
    <t>Indus OR Shiqnan OR Aarzan Garzan OR Beas OR Bodhegaon OR Gilgit OR Jogwada OR Koyna OR Kundlika OR Saraswati OR Sindphana OR Chenab OR Haro OR Jamergal OR Jhelum OR Kabul OR Khal Kass OR Kundar OR Manch har Lake OR Nain Sikh OR Ravi OR Saddle Dam OR Sutlej OR Swat OR Tain Pura OR Zhob</t>
  </si>
  <si>
    <t>INDU</t>
  </si>
  <si>
    <t>Indus</t>
  </si>
  <si>
    <t>Irrawaddy OR Daying OR Long Chuan OR Thoubal Turel OR Logtak Lake OR Chidwin OR Chindwin OR Chinthe OR Gedu OR Heinhtun OR Iudawgyi Lake OR Kaukkwe OR Kiu OR Kodan OR Lang OR CAPS(Ma) OR Mali OR Manipur OR Meza OR CAPS(Mon) OR Mu OR Myitnge OR Myittha OR Nampak OR Namyin OR Nat E-zu OR Nmai OR Pani OR Schweli OR Tainggwin OR Tamai OR Tarung OR Tizu-Nantaleik OR Uyn OR CAPS(Yao) OR CAPS(Yu) OR Zahaw</t>
  </si>
  <si>
    <t>IRWD</t>
  </si>
  <si>
    <t>Irrawaddy</t>
  </si>
  <si>
    <t>Isonzo OR Soca</t>
  </si>
  <si>
    <t>ISNZ</t>
  </si>
  <si>
    <t>Isonzo</t>
  </si>
  <si>
    <t>Jayapura</t>
  </si>
  <si>
    <t>JAPR</t>
  </si>
  <si>
    <t>Jacobs</t>
  </si>
  <si>
    <t>JCBS</t>
  </si>
  <si>
    <t>Jordan OR CAPS(Dead Sea) OR Sea of Galilee OR Nahr az Zarga OR Wadi al Jaydyb OR Yarmuk OR Yarmouk OR Hasbani</t>
  </si>
  <si>
    <t>JORD</t>
  </si>
  <si>
    <t>Jordan</t>
  </si>
  <si>
    <t>Alex</t>
  </si>
  <si>
    <t>Juba OR Shibeli OR Baua OR Daketa OR Fafen OR Genale OR Jerer OR Ramis OR T'er OR Wabe Gestro OR Wabe Shebele OR Welmel OR Dawa OR Madax Gooy OR Webi Shabelle</t>
  </si>
  <si>
    <t>JUBA</t>
  </si>
  <si>
    <t>Juba-Shibeli</t>
  </si>
  <si>
    <t>Jurado</t>
  </si>
  <si>
    <t>JURD</t>
  </si>
  <si>
    <t>Kaladan</t>
  </si>
  <si>
    <t>KALD</t>
  </si>
  <si>
    <t>Kemi OR Alasuolijarvi OR Askanjoki OR Jeesiojoki OR Juotasjoki OR Kemijoki OR Kemiyari OR Kitinen OR Luiro OR Luirojoki OR Ounasjoki OR Porttipahata Reservoir OR Unari</t>
  </si>
  <si>
    <t>KEMI</t>
  </si>
  <si>
    <t>Kemi</t>
  </si>
  <si>
    <t>Kogilnik</t>
  </si>
  <si>
    <t>KGNK</t>
  </si>
  <si>
    <t xml:space="preserve">No Results Were Found in Search </t>
  </si>
  <si>
    <t>Komoe OR Bayakokore OR Iringou OR Leraba-Occidentale OR</t>
  </si>
  <si>
    <t>KMOE</t>
  </si>
  <si>
    <t>Komoe</t>
  </si>
  <si>
    <t>Karnaphuli OR Karnafuli</t>
  </si>
  <si>
    <t>KNFL</t>
  </si>
  <si>
    <t>Karnaphuli</t>
  </si>
  <si>
    <t>Kowl E Namaksar</t>
  </si>
  <si>
    <t>KOWL</t>
  </si>
  <si>
    <t>Krka</t>
  </si>
  <si>
    <t>KRKA</t>
  </si>
  <si>
    <t>Klaralven OR Lettan OR Ore alv</t>
  </si>
  <si>
    <t>KRLV</t>
  </si>
  <si>
    <t>Klaralven</t>
  </si>
  <si>
    <t>Kunene OR Cunene OR Caculuvar</t>
  </si>
  <si>
    <t>KUNE</t>
  </si>
  <si>
    <t>Kunene</t>
  </si>
  <si>
    <t>Kura OR Araks OR Azat OR Lori OR Mingacevir Reservior OR Aragvi OR Iori OR Khrami OR Ahar OR Ajy Chay OR Aras OR Qareh</t>
  </si>
  <si>
    <t>KURA</t>
  </si>
  <si>
    <t>Kura-Araks</t>
  </si>
  <si>
    <t>Lava OR Pregel</t>
  </si>
  <si>
    <t>LAVA</t>
  </si>
  <si>
    <t>Lava/Pregel</t>
  </si>
  <si>
    <t>Laguna Filaret</t>
  </si>
  <si>
    <t>LGFL</t>
  </si>
  <si>
    <t>Lotagipi Swamp</t>
  </si>
  <si>
    <t>LGPS</t>
  </si>
  <si>
    <t>CAPS(Lima) OR Laguna de Antela</t>
  </si>
  <si>
    <t>LIMA</t>
  </si>
  <si>
    <t>Lima</t>
  </si>
  <si>
    <t>Lake Azuei</t>
  </si>
  <si>
    <t>LKAZ</t>
  </si>
  <si>
    <t>Lake Chad OR Bamingui OR Bangoran OR Bongoul OR Goro OR Gribingui OR Kamear OR Manovo OR Ouandja OR Ouham OR Oulou OR Pende OR Vakaga OR Vassako OR Yata OR Dillia OR Tegouma OR Kano OR Katagum OR Komadugu Gana OR Ngadda OR Yedseram OR Wadi Tiwal OR Ba illi OR Bahr Aoak OR Bahr Azourn OR Bahr el Ghazal OR Soro OR Bahr Ergig OR Bahr Keita OR Doka OR Bahr Salamat OR Chari OR Logone</t>
  </si>
  <si>
    <t>LKCH</t>
  </si>
  <si>
    <t>Lake Chad</t>
  </si>
  <si>
    <t>Lake Chilwa</t>
  </si>
  <si>
    <t>LKCW</t>
  </si>
  <si>
    <t>Lake Cayo</t>
  </si>
  <si>
    <t>LKCY</t>
  </si>
  <si>
    <t>Lak Dera</t>
  </si>
  <si>
    <t>LKDR</t>
  </si>
  <si>
    <t>Lake Enriquillo</t>
  </si>
  <si>
    <t>LKEQ</t>
  </si>
  <si>
    <t>Lake Fagnano</t>
  </si>
  <si>
    <t>LKFN</t>
  </si>
  <si>
    <t>Lake Natron OR Ewaso Ng'iro</t>
  </si>
  <si>
    <t>LKNT</t>
  </si>
  <si>
    <t>Lake Natron</t>
  </si>
  <si>
    <t>Lake Prespa OR Frankovishte OR Grabovice OR Grunjas OR Hyle OR Jame OR Mujaz OR P.pusave OR Plloce OR Stropske OR Vakefi</t>
  </si>
  <si>
    <t>LKPP</t>
  </si>
  <si>
    <t>Lake Prespa</t>
  </si>
  <si>
    <t>Lake Rukwa</t>
  </si>
  <si>
    <t>LKRW</t>
  </si>
  <si>
    <t>Lake Sarygamesh</t>
  </si>
  <si>
    <t>LKSG</t>
  </si>
  <si>
    <t>Lake Titicaca Poopo OR Lagoon Arapa</t>
  </si>
  <si>
    <t>LKTC</t>
  </si>
  <si>
    <t>Lake Titicaca-Poopo System</t>
  </si>
  <si>
    <t>Lake Turkana OR Ch'eq bahr OR Gojeb OR Omo OR Ferguson's Gulf OR Lotagipi Swamp OR Turkwel</t>
  </si>
  <si>
    <t>LKTK</t>
  </si>
  <si>
    <t>Lake Turkana</t>
  </si>
  <si>
    <t>Lake Ubsa OR Nur</t>
  </si>
  <si>
    <t>LKUN</t>
  </si>
  <si>
    <t>Lake Ubsa-Nur</t>
  </si>
  <si>
    <t>Lielupe OR Levuo OR Musa OR Berze OR Lecava OR Memele OR Misa OR Svete</t>
  </si>
  <si>
    <t>LLUP</t>
  </si>
  <si>
    <t>Lielupe</t>
  </si>
  <si>
    <t>Lough Melvin</t>
  </si>
  <si>
    <t>LMEL</t>
  </si>
  <si>
    <t>Lempa OR Lago de Guya OR CAPS(Grande) OR  Embalse Cerron Grande</t>
  </si>
  <si>
    <t>LMPA</t>
  </si>
  <si>
    <t>Lempa</t>
  </si>
  <si>
    <t>Limpopo OR Changane OR Elands OR Great Brak OR Great Letaba OR Klein Olifants OR Olifants OR Oompies OR Bubi OR Insiza OR Mchabezi OR Mtshabezi OR Mwenezi OR Shashe OR Thali OR Tuli OR Umtsabezi OR Umzingwani</t>
  </si>
  <si>
    <t>LMPO</t>
  </si>
  <si>
    <t>Limpopo</t>
  </si>
  <si>
    <t>Lagoon Dos Patos OR Lagoon Mirim OR Yaguaron</t>
  </si>
  <si>
    <t>LMRM</t>
  </si>
  <si>
    <t>Lagoon Dos Patos-Lagoon Mirim</t>
  </si>
  <si>
    <t>Loes</t>
  </si>
  <si>
    <t>LOES</t>
  </si>
  <si>
    <t>Loffa</t>
  </si>
  <si>
    <t>LOFF</t>
  </si>
  <si>
    <t>CAPS(La Plata) OR Bermejito OR Cataratas del Iguaza OR Chunapampa OR CAPS(Corrientes) OR Esteros del Ibera OR Iruya OR Parama OR CAPS(Pasaje) OR Pilaga OR CAPS(Salado) OR Teuco OR Uruguay OR Banados de Otaguis OR Camblaya OR Pilaya OR Tucaraca OR Yura OR Amambai OR Apore OR Araguari OR Arantes OR Bois OR Capivara OR Cascatinha OR CAPS(Claro) OR Corrente OR Corumba OR Da Prata OR Doce OR CAPS(Grande) OR Iguacu OR Iguatemi OR Irinheima OR Itarare OR Ivai OR Jaguaribe OR Juramento OR Mata OR Meia Ponte OR Mosquito OR Mourao OR Mulungu OR Parado OR Paran OR Parana Panema OR Paranaiba OR Paranapanema OR Pardo OR Piquiri OR Piracicaba OR Pirapitinga OR Prata OR Saltodas Sete Quedas OR Santa Luzia OR Sao Joao OR Sao Marcos OR Sucaria OR Tibagi OR Tiete OR Turro OR Acaray OR Apa OR Confaso OR Iguazu OR Monte Lindo OR Negro OR Parana OR Pilcomayo OR Tebicaary OR Timane OR CAPS(Verde) OR Yapane</t>
  </si>
  <si>
    <t>LPTA</t>
  </si>
  <si>
    <t>La Plata</t>
  </si>
  <si>
    <t>CAPS(Little) Scarcies OR Mongo</t>
  </si>
  <si>
    <t>LSCR</t>
  </si>
  <si>
    <t>Little Scarcies</t>
  </si>
  <si>
    <t>Lucia</t>
  </si>
  <si>
    <t>LUCI</t>
  </si>
  <si>
    <t>Mana OR Morro</t>
  </si>
  <si>
    <t>MANA</t>
  </si>
  <si>
    <t>Mana-Morro</t>
  </si>
  <si>
    <t>Maro</t>
  </si>
  <si>
    <t>MARO</t>
  </si>
  <si>
    <t>CAPS(Massacre)</t>
  </si>
  <si>
    <t>MASS</t>
  </si>
  <si>
    <t>Massacre</t>
  </si>
  <si>
    <t>There may be overlapping or missing data due to having to breakdown the search by timeline intervals. **could not download last 78 documents in search**</t>
  </si>
  <si>
    <t>CAPS(Ma) OR Het</t>
  </si>
  <si>
    <t>MAXX</t>
  </si>
  <si>
    <t>Ma</t>
  </si>
  <si>
    <t>Mbe</t>
  </si>
  <si>
    <t>MBEX</t>
  </si>
  <si>
    <t>There may be overlapping or missing data due to having to breakdown the search by timeline intervals.</t>
  </si>
  <si>
    <t>Medjerda OR Medjerdah</t>
  </si>
  <si>
    <t>MDJD</t>
  </si>
  <si>
    <t>Medjerda</t>
  </si>
  <si>
    <t>Mekong OR Aiche He OR Bi OR Buyuan OR Chas OR Cheng Jiang OR Han Jiang OR Lianjiang OR Liu Jiang OR Long Jiang OR Mei He OR Mengliu He OR Mengmei He OR Ngom OR Qin Jiang OR Rong Jiang OR Shaping He OR Subaihe OR Weiyuan OR Wuhua He OR Wuhuahe OR Wuxi He OR Yangbi OR Yangmei He OR Za OR Zi OR  Chas OR Chbar OR Chhloug OR Chuok OR Daum OR Krieng OR CAPS(Por) OR Porong OR Preas OR Prek Thnot OR San OR Sanker OR Sen OR Slaku OR Sreng OR Srepok OR Stung O'Chral OR CAPS(Te) OR Thnot OR Tonle Sap OR Bak OR Bang Fai OR Bang-Nouan OR Beng OR Champhon OR CAPS(Don) OR Kading OR Kaman OR Khan OR Kong OR Lanong OR Lik OR CAPS(Ma) OR CAPS(Met) OR Moun OR Nam Ngum Reservoir OR Ngao OR Ngay OR Ngiap OR Ngum OR Noy OR CAPS(On) OR CAPS(Ou) OR Pak OR Payou OR Pha OR Phoun OR Pouy OR Tha OR Xang OR Xangxoy OR Xeipan OR Xeng OR Xong OR Xou OR Hka OR Loi OR Nanlei OR Nanlan OR Chi OR Hung OR Ing OR Kok OR Mong OR Mun OR Nam Pong OR Nong Han OR Pao OR Songkharam OR Ubolratna Reservoir OR Banghiang OR Co Chien OR Drang OR Han Giang OR Hardrai OR Krong OR CAPS(Sun)</t>
  </si>
  <si>
    <t>MEKO</t>
  </si>
  <si>
    <t>Mekong</t>
  </si>
  <si>
    <t xml:space="preserve">Muhuri OR CAPS(Little) Feni </t>
  </si>
  <si>
    <t>MHRI</t>
  </si>
  <si>
    <t>Muhuri (aka Little Feni)</t>
  </si>
  <si>
    <t>Anllarinos OR Boeza OR Casoyo OR Eiros OR Lona OR Mino OR Valseco OR Arnoia OR Sil OR Lor OR Bibei OR Cua OR Laguna de Antela</t>
  </si>
  <si>
    <t>MINO</t>
  </si>
  <si>
    <t>Mino</t>
  </si>
  <si>
    <t>Mira</t>
  </si>
  <si>
    <t>MIRA</t>
  </si>
  <si>
    <t xml:space="preserve">There may be overlaps or gaps in the data due to having to split the timeline into intervals in order to successfully download the documents. </t>
  </si>
  <si>
    <t xml:space="preserve">Mississippi OR Milk OR CAPS(North Fork Milk) OR CAPS(South Fork Milk) OR Porcupine Creek OR Willow Creek OR Rock Creek OR Snake Creek OR Beaver Creek OR CAPS(Little Beaver Creek)  OR Frenchman OR Whitewater Creek OR Cottonwood OR Battle Creek OR Lodge Creek OR Box Elder Creek OR Big Sandy Creek OR Sage Creek OR Verdigris Couless Or CAPS(Middle Fork Milk) OR Musselshell River OR Poplar OR CAPS(West Fork Poplar) OR CAPS(West Poplar) OR CAPS(Middle Fork Poplar RIver) OR CAPS(East Fork Poplar) OR CAPS(Big Muddy Creek) OR CAPS(Smoke Creek) OR CAPS(Lake Creek) OR CAPS(Big Muddy Lake) OR CAPS(Red River)OR Ohio OR Missouri OR Arkansas OR Illinois OR Allegheny OR Tennessee OR CAPS(Salt Lake) OR Loomis Coulee OR CAPS(East Poplar) OR CAPS(Goose Creek) OR CAPS(Coal Creek) OR Morgan Creek OR CAPS(Rock Creek) OR CAPS(Horse Creek) OR La Berge Creek </t>
  </si>
  <si>
    <t>MISS</t>
  </si>
  <si>
    <t>Mississippi</t>
  </si>
  <si>
    <t>Mius</t>
  </si>
  <si>
    <t>MIUS</t>
  </si>
  <si>
    <t>Moa</t>
  </si>
  <si>
    <t>MOAX</t>
  </si>
  <si>
    <t>There may be overlaps or gaps in data due to having to split the search into timeline intervals.</t>
  </si>
  <si>
    <t>Moho</t>
  </si>
  <si>
    <t>MOHO</t>
  </si>
  <si>
    <t>Mono OR Ogou</t>
  </si>
  <si>
    <t>MONO</t>
  </si>
  <si>
    <t>Mono</t>
  </si>
  <si>
    <t>There may be some missing or overlapping data due to having to breakdown the timeline during the search</t>
  </si>
  <si>
    <t>Motaqua</t>
  </si>
  <si>
    <t>MOTQ</t>
  </si>
  <si>
    <t>Maputo</t>
  </si>
  <si>
    <t>MPUT</t>
  </si>
  <si>
    <t>There may be missing or overlapping information due to the timeline search.</t>
  </si>
  <si>
    <t>Murgab OR Gushgy</t>
  </si>
  <si>
    <t>MRGB</t>
  </si>
  <si>
    <t>Murgab</t>
  </si>
  <si>
    <t>Maroni OR Litani Itany OR Marouini OR Ouagui OR Tampol</t>
  </si>
  <si>
    <t>MRNI</t>
  </si>
  <si>
    <t>Maroni</t>
  </si>
  <si>
    <t>Maritsa OR Ovtcharitza OR Skender dere</t>
  </si>
  <si>
    <t>MRSA</t>
  </si>
  <si>
    <t>Maritsa</t>
  </si>
  <si>
    <t>Mataje</t>
  </si>
  <si>
    <t>MTJE</t>
  </si>
  <si>
    <t>Naaf</t>
  </si>
  <si>
    <t>NAAF</t>
  </si>
  <si>
    <t>Naaf River</t>
  </si>
  <si>
    <t>Naatamo</t>
  </si>
  <si>
    <t>NAAT</t>
  </si>
  <si>
    <t>Results list saved as PDF due to small number of results</t>
  </si>
  <si>
    <t>Nidelva</t>
  </si>
  <si>
    <t>NDLV</t>
  </si>
  <si>
    <t>CAPS(Negro)</t>
  </si>
  <si>
    <t>NEGR</t>
  </si>
  <si>
    <t>Negro</t>
  </si>
  <si>
    <t>Saskatchewan OR Amisk Lake OR Beaverhill Lake OR CAPS(Bow) OR Brazeau OR CAPS(Candle Lake) OR CAPS(Carrot) OR CAPS(Cedar Lake) OR Chin Coulee OR CAPS(Clear Water) OR Coulee OR CAPS(Eagle Creek) OR Etzikon Coulee OR Freshfield Icefield OR CAPS(Frog Lake) OR CAPS(Goose Lake) OR Kipp Coulee OR Lake Diefenbaka OR Lake Winnipeg OR CAPS(Little Bow) OR Manitoa Lake OR McGregor Lake OR Meinsinger Creek OR Minnewanka OR Nelson OR North Saskatchewan OR Oldman OR Pakowki Lake OR CAPS(Red)  OR South Saskatchewan OR Sturgeon OR CAPS(Torch) OR Travers Reservoir OR CAPS(White Fox) OR CAPS(Willow Creek) OR CAPS(Wood) OR Lake of the Woods OR Lake Sakakwer OR CAPS(Red River) of North OR Sheyenne</t>
  </si>
  <si>
    <t>NELS</t>
  </si>
  <si>
    <t>Nelson-Saskatchewan</t>
  </si>
  <si>
    <t>Sirba OR Lagdo Reservoir OR CAPS(Rey) OR O:Ti-n-Amzi OR Milo OR Tinkisso OR Bagoe OR Bani OR Baoule OR Lac Do OR Lac Garou OR Lac Aougoundou OR Lac Korarou OR Lac Niangay OR Lake Debo OR Vallee de L'azaouak OR Dallol Bosso OR Eliki OR Mekrou OR Dinya OR Gongola OR Gurara OR Ka OR Kaduna OR Kainj Lake OR Kam OR Katsin a Ala OR Niger OR Oli OR Sokoto OR Taraba OR Teshi OR Wase OR Zamfara OR Benue</t>
  </si>
  <si>
    <t>NGER</t>
  </si>
  <si>
    <t>Niger</t>
  </si>
  <si>
    <t>Nahr El Kebir</t>
  </si>
  <si>
    <t>NHRK</t>
  </si>
  <si>
    <t>Lake Nasser OR Nile OR Abay OR Akkobo OR Angereb  OR Baro OR Beles OR Dabus OR Didesa OR Dinder OR Gilo Wenz OR Hanger OR Jema OR Rahad OR Tana Hayak OR T'is Isat Fwafwate OR Akobo OR Atbara OR Bahr el Arab OR Bahr el Ghazal OR Bahr el Jebel OR Mountain Nile OR Bahr ez Zar af OR Boro OR Busseri OR El Bahr Abyad OR El Bahr el Azraq OR Blue Nile OR Gel OR Geni OR Ibba OR Tonj OR Jur OR Kangen OR Kenamuke Swamp OR Khashm el Quiba Dam OR Knor Abu Habi OR Kobowen Swamp OR Kuru OR Lake No OR Lake Nubia OR Lol  OR Lotilla OR Nyanding OR Pibor OR Pongo OR Raga OR Raqaba ez Zarqa OR Roah OR Na'am OR Setit OR Tekeze OR Sobat OR CAPS(Sue) OR Umbelasha OR Veveno OR Wadi Amur OR Wadi el Allaqi OR Wadi el Ghalla OR Wadi el Milk OR Wadi Gabgaba OR Wadi Muqaddm OR Wau OR Yei OR Achwa OR Morotto OR Albert Nile OR Kafu OR Lake Albert OR Lake George OR Lake Kyoga OR Lake Victoria OR Nkusi OR Peger OR Victoria Nile OR White Nile OR Busizi OR Lac Kivu OR Lake Edward OR Lake Tanganyika OR Semliki</t>
  </si>
  <si>
    <t>NILE</t>
  </si>
  <si>
    <t>Nile</t>
  </si>
  <si>
    <t>Neman OR Byarezina OR Isloch' OR Kotra OR Mowchadz OR Shchara OR Srislach OR Usa OR Viliya OR Voz. Narach OR Voz. Srir OR Vynya OR Zal'ryanka OR Akmend OR Dievogala OR Dubysa OR Dusia OR Grauze OR Jura OR Mitura OR Nemunas OR Neris OR Nevezis OR Nova OR Obelis OR Ova OR Sesuris OR Striuna OR Susre OR Sventoji</t>
  </si>
  <si>
    <t>NMAN</t>
  </si>
  <si>
    <t>Neman</t>
  </si>
  <si>
    <t>Neretva</t>
  </si>
  <si>
    <t>NRTV</t>
  </si>
  <si>
    <t>Narva OR  Peipus OR Vohandu OR Cherekha OR Kuchva OR L.Peipus OR Chudskoye Ozero OR Pskovskoye Ozero OR Sinyaya OR Utroya OR Velikaya</t>
  </si>
  <si>
    <t>NRVA</t>
  </si>
  <si>
    <t>Narva</t>
  </si>
  <si>
    <t>Nestos OR Myloremma</t>
  </si>
  <si>
    <t>NSTO</t>
  </si>
  <si>
    <t>Nestos</t>
  </si>
  <si>
    <t>Nyanga</t>
  </si>
  <si>
    <t>NYGA</t>
  </si>
  <si>
    <t>Narynka</t>
  </si>
  <si>
    <t>NYNK</t>
  </si>
  <si>
    <t>Ertix OR Ulungur Hu OR Ertis OR Marqukol OR Zaysan Koli OR Agan OR Chulm OR Dem'yanka OR Irtysh OR Iset' OR Ishim OR Katun' OR Kazum OR Ket' OR Koli' yegan OR Lisitsa OR Ob OR Om' OR Parabel OR Pelym OR Rim OR Sabun OR Tara OR Tavda OR Tobol OR Turtas OR Tym OR Uluyul OR Vagay OR Vakh OR Vasyugan</t>
  </si>
  <si>
    <t>OBXX</t>
  </si>
  <si>
    <t>Ob</t>
  </si>
  <si>
    <t>Oued Bon Naima</t>
  </si>
  <si>
    <t>ODBN</t>
  </si>
  <si>
    <t>Oder OR Lobnicky potok OR Moravice OR Barycz OR Bobr OR Grabia OR Kwisa OR Matd Panew OR Neisse OR Nysaluzyckn OR Neris OR Notec OR Nysa Klodzka OR Obra OR Odra OR Pliszka OR Prosna OR Warta OR Watna OR Widawka</t>
  </si>
  <si>
    <t>ODER</t>
  </si>
  <si>
    <t>Oder/Odra</t>
  </si>
  <si>
    <t>Ogooue OR Abanga OR Aina OR Djadie OR Djouah OR Ikoy OR Ivindo OR Leconi OR Lolo OR Mvoung OR Ngounie OR Offoue OR Ouah OR Sebe</t>
  </si>
  <si>
    <t>OGOO</t>
  </si>
  <si>
    <t>Ogooue</t>
  </si>
  <si>
    <t>Okavango OR Cuatir OR Cuito OR Makgadikgadi Pans OR Tandaue OR Boteti OR Lake Ngami OR Lake Xau OR Nata OR Okvango Delta OR Omatako OR Otjozondjou</t>
  </si>
  <si>
    <t>OKVG</t>
  </si>
  <si>
    <t>Okavango</t>
  </si>
  <si>
    <t>Olanga OR Iijoki OR Oulujoki OR Pya Ozero</t>
  </si>
  <si>
    <t>OLNG</t>
  </si>
  <si>
    <t>Olanga</t>
  </si>
  <si>
    <t>No documents past December 31, 2019</t>
  </si>
  <si>
    <t>CAPS(Oral) OR Ural</t>
  </si>
  <si>
    <t>ORAL</t>
  </si>
  <si>
    <t>Oral/Ural</t>
  </si>
  <si>
    <t>Auob OR CAPS(Fish) OR CAPS(Ham) OR Nossob OR Olifants OR Boskloof OR CAPS(Bulk) OR Caledon OR Dwars OR Flouriespruit OR CAPS(Great Fish) OR Groot OR Groot Vloer OR Harts OR Heks OR Houdenbek OR Kaffir OR Kammanassie OR Kareekloof OR Kariega OR Kgabanyane OR Klip OR Koekedou OR Kromme OR Kruis OR Kuruman OR Laughin Water OR Leeu OR Loopspruit OR CAPS(Lower Fish) OR Mahawana OR Modder OR Molopo OR Mooi OR Nuwejaarspruit OR Oorkanste OR CAPS(Orange) OR Palmiet OR Populierbosspruit OR Quains OR Rietspruit OR Rooikloof OR CAPS(Sand) OR Sanddriftskloof OR Sandgat OR Skaap OR Smalblaar OR Swartkops OR Tarka OR Titus OR Vaal OR Vaal Dam OR Valsh OR Van Stadens OR Verneuk Pan</t>
  </si>
  <si>
    <t>ORAN</t>
  </si>
  <si>
    <t>Orange</t>
  </si>
  <si>
    <t>Orinoco OR Ariporo OR Bichada OR Bichado OR Bita OR Bocon OR Craro Norte OR Craw Sur OR Cusiana OR Guainia OR Guaviare OR Guayabera OR Inirida OR La Garcia OR  La Gallinaza OR Losada OR Manacacias OR Mapiripan OR Nare OR Pauto OR CAPS(Playas) OR Salto Angostara I OR Salto Angostura II OR Salto Angostura III OR Tomo OR Tuparro OR Upia OR Ura OR Apure OR Arauca OR Buria OR Capana Paro OR Caroni OR Casiquiare OR Caura OR Chivapuri OR Cinaruco OR Cojedos OR Conorochite OR Cuchiveto OR Embalse de Guri OR Embalse de Guarico OR Erbetuto OR Gaurico OR Guanare OR CAPS(Meta) OR Paco OR Paragua OR Paru OR Parucito OR Portuguesa OR Siapa OR Sipapo OR Suapure OR Ventuari</t>
  </si>
  <si>
    <t>ORIN</t>
  </si>
  <si>
    <t>Orinoco</t>
  </si>
  <si>
    <t>Oueme OR Okpara</t>
  </si>
  <si>
    <t>OUEM</t>
  </si>
  <si>
    <t>Oueme</t>
  </si>
  <si>
    <t>Oulu</t>
  </si>
  <si>
    <t>OULU</t>
  </si>
  <si>
    <t>Oiapoque OR Oyupock OR Camopi</t>
  </si>
  <si>
    <t>OYPK</t>
  </si>
  <si>
    <t>Oiapoque/Oyupock</t>
  </si>
  <si>
    <t>Pangani</t>
  </si>
  <si>
    <t>PANG</t>
  </si>
  <si>
    <t>CAPS(Paz)</t>
  </si>
  <si>
    <t>PAZX</t>
  </si>
  <si>
    <t>Paz</t>
  </si>
  <si>
    <t>Peschanaya</t>
  </si>
  <si>
    <t>PCHA</t>
  </si>
  <si>
    <t>Pedernales</t>
  </si>
  <si>
    <t>PDNL</t>
  </si>
  <si>
    <t>Sukriti</t>
  </si>
  <si>
    <t>Pakchan</t>
  </si>
  <si>
    <t>PKCN</t>
  </si>
  <si>
    <t>No documents found</t>
  </si>
  <si>
    <t>Poldnevaya</t>
  </si>
  <si>
    <t>PLDV</t>
  </si>
  <si>
    <t>Palena</t>
  </si>
  <si>
    <t>PLNA</t>
  </si>
  <si>
    <t>Pandaruan</t>
  </si>
  <si>
    <t>PNDR</t>
  </si>
  <si>
    <t>Maggia OR Meosa OR Moesa OR Ticina OR Adda OR Agogna OR Albano OR Arda OR Armisa OR Aveto OR Aviana OR Avio OR Avisio OR Baitone OR Belbo OR Belviso OR Bitto Di Gerola OR Boreaca OR Borleggia OR Bormida OR Brembo OR Brembo Di Branzi OR Caffaro OR Careser OR Caronno OR Ceno OR Cherio OR Chiese OR Chisone OR Cormor OR Dora Baltea OR Dora Riparia OR Elvo OR Enza OR Goglio OR Gorno OR Grana OR Grigno OR Inferno OR Bitto OR Laghetti Del Venerocolo OR Lago d' Iseo OR Lago d' Orta OR Lago di como OR Lago di Garda OR Lago di lecco OR Lago Maggiore OR Laione OR Leno Di Vallarsa OR Liro OR Lovareno OR Maira OR Mera OR Mincio OR Mora OR Noana OR Noce OR Noce Di Val Dal Monte OR Nure OR Oglio OR Ogna OR Orba OR Paharo OR Parma OR Pellice OR Po OR Poglia OR Poglia-Arno OR Poglia-Salarno OR Ratti OR Rio Castelletto OR Roasco OR Roasco D'Eita OR Sarca OR Scalcoggia OR Scrivia OR Secchia OR Seio OR Serio OR Sesia OR Sila OR Stabina OR Stura di Demonte OR Tanaro OR Taro OR Tartano OR Tidone OR Toscolano OR Travignolo OR Trebbia OR Truzzo OR Varaita OR Varrone OR Venina</t>
  </si>
  <si>
    <t>POXX</t>
  </si>
  <si>
    <t>Po</t>
  </si>
  <si>
    <t>10,000+</t>
  </si>
  <si>
    <t>Prohladnaja</t>
  </si>
  <si>
    <t>PRLN</t>
  </si>
  <si>
    <t>Parnu</t>
  </si>
  <si>
    <t>PRNU</t>
  </si>
  <si>
    <t>Pascua</t>
  </si>
  <si>
    <t>PSCU</t>
  </si>
  <si>
    <t>Y (20 October 2021)</t>
  </si>
  <si>
    <t>800-990 left</t>
  </si>
  <si>
    <t>Psou</t>
  </si>
  <si>
    <t>PSOU</t>
  </si>
  <si>
    <t>Pasvik OR Inari OR Ivalojoki OR Vaskojoki</t>
  </si>
  <si>
    <t>PSVK</t>
  </si>
  <si>
    <t>Pasvik</t>
  </si>
  <si>
    <t>Patia</t>
  </si>
  <si>
    <t>PTIA</t>
  </si>
  <si>
    <t>Puelo</t>
  </si>
  <si>
    <t>PUEL</t>
  </si>
  <si>
    <t>Pu Lun T'o</t>
  </si>
  <si>
    <t>PULT</t>
  </si>
  <si>
    <t>Pungwe</t>
  </si>
  <si>
    <t>PUNG</t>
  </si>
  <si>
    <t>Rann of Kutch</t>
  </si>
  <si>
    <t>RAKU</t>
  </si>
  <si>
    <t>CAPS(Red) OR Song Hong OR Amo OR Babian OR Lishe OR Lixian OR Luzhi OR Nanmuli He OR Nanpan Jiang OR Nanpanjiang OR Tangqiao He OR Xida He OR Chay OR CAPS(Da) OR Gam OR Kim OR Lo OR Luc Ngan OR CAPS(Ma) OR Meuk OR CAPS(Na) OR Nhie</t>
  </si>
  <si>
    <t>REDX</t>
  </si>
  <si>
    <t>Red/Song Hong</t>
  </si>
  <si>
    <t>10,000+ In Progress</t>
  </si>
  <si>
    <t>Rezvaya</t>
  </si>
  <si>
    <t>REZV</t>
  </si>
  <si>
    <t>del Pino OR de la Bagia OR de la Zorra OR Agua Zarca OR Alamo OR Arroyo La Mina OR C. Camargo OR Candela OR Casas Coloradas OR Cerro Coloradas OR Cerro Gordo OR Chuviscar OR Conchos OR El Guardad OR El Rejon OR Florido OR Garabito OR Groceros OR La Sauceda OR Laguna Delicas OR Los Hoyos OR Los Mimbres OR Parral OR Pilon OR Presa de la Boquilla OR Presa Marte R. Comez OR Presa Venustiano Carranza OR Sabinas OR Sacramento OR Salado OR Salado y Salinas OR San Juan OR San Pedro OR San Rodrigo OR Seis de Enero OR Tunal OR Valsequillo OR Abiquin Reservoir OR Alamosa OR Amistad Reservoir OR Arroyo del Macho OR Brady Creek OR Brantley Lake OR Caballo Reservoir OR Cherokee Sandy Creek OR Coal Creek OR Comelys Branch OR Coyanosa Draw OR Curtis Canyon OR Delaware Creek OR CAPS(Devils) OR Elephant Butte Reservoir OR Falcon Lake OR Flat Rock Creek OR Gallinas OR Garrison Creek OR Gold Gulch OR Graveyard Canyon OR Guayo OR Howard Draw OR Independence Creek OR Jonson Draw OR Lake Avalon OR Lake Summer OR North Cheyenne Creek OR North Clear Creek OR Pecos OR Pellejas OR Pinto Creek OR Red Bluff Lake OR Rio Blanco OR Rio Chuma OR Rio Felix OR Rio Grande OR Rio Grande De Arecibo OR Rio Grande Reservoir OR Rio Hondo OR  Rock Arroyo OR Rio Penasco OR Rio Puerco OR Rio Salado OR Rio San Jose OR Salt Creek OR San Carlos  OR Santa Fe OR South Brady Creek OR Toyah Creek OR Toyah Lake OR Trinchera Creek OR CAPS(Vacas) OR Venturo Creek OR Washington Creek OR Williams Creek</t>
  </si>
  <si>
    <t>RGNA</t>
  </si>
  <si>
    <t>Rio Grande (North America)</t>
  </si>
  <si>
    <t>CAPS(Rio Grande) OR CAPS(Grande) OR Hurtado</t>
  </si>
  <si>
    <t>RGSA</t>
  </si>
  <si>
    <t>Rio Grande (South America)</t>
  </si>
  <si>
    <t>Rach Giang Thanh</t>
  </si>
  <si>
    <t>RGTH</t>
  </si>
  <si>
    <t>Rhine OR Meuse OR Aare OR Birs OR Boden see OR Lake Constance OR Diechterbach OR Goschener-reuss OR Hinter rhein OR Oberaarbach OR Reuss OR Rhein da Medal OR Russein OR Sarine OR Toss OR Tscherzisbach OR Vorder rhein OR Zurich see OR Aa OR Aar OR Ahr OR Andrift OR Dreilagerbach OR Eder OR Elz OR Erft OR Glan OR Issel OR Kall OR Kinzig OR Kyll OR Lahn OR Lenne OR Main OR Mosel OR Moselle OR Murg OR Nahe OR Nidda OR Nidder OR Nister OR Perlenbach OR Rehbach OR Ruhr OR Rur OR Schwalm OR Sieg OR Taaber OR Wetter OR Wied OR Wiese OR Ain OR Etang de Lachaus see OR Ill OR Moder OR Orne OR Rhin OR Saar OR Thur OR I Jssel OR Lek OR Linge OR Nederrijn OR Nieuwe Maas OR Waal</t>
  </si>
  <si>
    <t>RHIN</t>
  </si>
  <si>
    <t>Rhine-Meuse</t>
  </si>
  <si>
    <t>Lake Geneva OR CAPS(Rotten) OR Aigues OR Ain OR Arc OR Ardeche OR Arly OR Asse OR Balaing OR Buech OR Cenise OR Dorinet OR Doron De Beaufort OR Doubs OR Drac OR Drome OR Durance OR Eau D'Olle OR Fier OR Flumet OR Gees OR Geez OR Grosne OR Infernet OR Lac d'anneay OR Lac de Serre-ponson OR Lac du Bourget OR Lac Leman OR Lone OR Poncellamont OR Rhone OR Riou OR Rious Gras OR Romanche OR Saone OR Torrent de la Sassiere OR Verdan OR Veyle OR Isere</t>
  </si>
  <si>
    <t>RHON</t>
  </si>
  <si>
    <t>Rhone</t>
  </si>
  <si>
    <t>Roia</t>
  </si>
  <si>
    <t>ROIA</t>
  </si>
  <si>
    <t>Ruvuma OR Lago Chinta OR Lake Malawi OR Luchulingo OR Lugenda</t>
  </si>
  <si>
    <t>RVMA</t>
  </si>
  <si>
    <t>Ruvuma</t>
  </si>
  <si>
    <t>Sabi OR Lake Muririkwi OR Maroro OR Mukwadzi OR Munene OR Muneni OR Musongwa OR Mutirikwi OR Mutorashanga OR Mwarazi OR Ngezi OR Odzani OR Odzi OR Runde OR Squatodzi</t>
  </si>
  <si>
    <t>SABI</t>
  </si>
  <si>
    <t>Sabi</t>
  </si>
  <si>
    <t>Santa Clara</t>
  </si>
  <si>
    <t>SACL</t>
  </si>
  <si>
    <t>Nha Be OR Saigon OR Song Vam Co Dong</t>
  </si>
  <si>
    <t>SAIG</t>
  </si>
  <si>
    <t>Nha Be-Saigon-Song Vam Co Dong</t>
  </si>
  <si>
    <t>Salaca</t>
  </si>
  <si>
    <t>SALC</t>
  </si>
  <si>
    <t>Salween OR Kuke OR Hsim OR Inle Lake OR CAPS(Ma) OR Nanding OR Pang OR Pawn OR Pilu OR Teng OR Moei OR Nan</t>
  </si>
  <si>
    <t>SALW</t>
  </si>
  <si>
    <t>Salween</t>
  </si>
  <si>
    <t>Samur</t>
  </si>
  <si>
    <t>SAMR</t>
  </si>
  <si>
    <t>Sanaga</t>
  </si>
  <si>
    <t>SANA</t>
  </si>
  <si>
    <t>Sassandra OR Lac de Buyo OR Lobo OR Nzo</t>
  </si>
  <si>
    <t>SASS</t>
  </si>
  <si>
    <t>Sassandra</t>
  </si>
  <si>
    <t>Sebuku</t>
  </si>
  <si>
    <t>SBKU</t>
  </si>
  <si>
    <t>St. Croix OR Chiputneticook</t>
  </si>
  <si>
    <t>SCRO</t>
  </si>
  <si>
    <t>St. Croix</t>
  </si>
  <si>
    <t>Seine OR Aube OR Eure OR Iton OR Marne OR Oise OR Vanne OR Yonne</t>
  </si>
  <si>
    <t>SEIN</t>
  </si>
  <si>
    <t>Seine</t>
  </si>
  <si>
    <t>Senegal OR Bafing OR Bakoye OR Baoule OR Karakoro OR Kolimbine OR Ouadou OR Gorgol Blanc</t>
  </si>
  <si>
    <t>SENG</t>
  </si>
  <si>
    <t>Senegal</t>
  </si>
  <si>
    <t>Seno Union OR Serrano</t>
  </si>
  <si>
    <t>SENO</t>
  </si>
  <si>
    <t>Seno Union/Serrano</t>
  </si>
  <si>
    <t>Sepik</t>
  </si>
  <si>
    <t>SEPK</t>
  </si>
  <si>
    <t>Song Tien Yen</t>
  </si>
  <si>
    <t>SGTY</t>
  </si>
  <si>
    <t>Schelde OR Demer OR Dender OR Dijle OR Rupel</t>
  </si>
  <si>
    <t>SHLD</t>
  </si>
  <si>
    <t>Schelde</t>
  </si>
  <si>
    <t>Shu OR Chu</t>
  </si>
  <si>
    <t>SHUR</t>
  </si>
  <si>
    <t>Shu/Chu</t>
  </si>
  <si>
    <t>Sixaola</t>
  </si>
  <si>
    <t>SIOL</t>
  </si>
  <si>
    <t xml:space="preserve">St. John </t>
  </si>
  <si>
    <t>SJAF</t>
  </si>
  <si>
    <t>St. John (Africa)</t>
  </si>
  <si>
    <t>St. John OR Canaan OR Monquart OR Saint John OR Sisson OR Thames OR CAPS(Verde) OR Allasash OR CAPS(Eagle Lake) OR CAPS(Fish) OR CAPS(Long Lake) OR Munsungan lake OR Musquacook Lakes OR CAPS(Round Pond) OR Sqnapan Lake OR Umsaskis Lake</t>
  </si>
  <si>
    <t>SJNA</t>
  </si>
  <si>
    <t>St. John (North America)</t>
  </si>
  <si>
    <t>San Juan OR Chiripo OR Lagoon De Arenal OR San Carlos</t>
  </si>
  <si>
    <t>SJUA</t>
  </si>
  <si>
    <t>San Juan</t>
  </si>
  <si>
    <t>Skagit</t>
  </si>
  <si>
    <t>SKAG</t>
  </si>
  <si>
    <t>Batoscam OR Bazin OR Beaharnois Canal OR Chaudiere OR Chicoutimi OR Chochocouane OR Coulonge OR Cross Lake OR Damoine OR Des Prairies OR Fildegrand OR Gatineau OR Gens De Terre OR Gradn Lac Victoria OR Grande Decharge OR Jacques-Cartier OR Jordan OR Kiamika OR Lac Batiscan OR Lac Byrd OR Lac Camachigama OR Lac Dandurand OR Lac des Quinze OR Lac Desert OR Lac du Fils OR Lac Dumoine OR Lac Dumont OR Lac Nemiscachingue OR Lac Poulter OR Lac Roger OR Lac Simard OR Lac St. Patrice OR Lac St. Pierre OR Lac Beaudry OR Lac Brule OR Lake Temagami OR Lake Timiskaming OR Lake Wayagamac OR Larder Lake OR Lievre OR Madawaska OR Manicouagan OR Matabitchuan OR Michipicoten OR Mississagi OR Mistigougueche OR Mitchinamecus OR Mitis OR Montreal OR CAPS(Noire) OR Outaouais Inf. OR Outardes OR Pend D'Oreille OR Peribonka OR Prairies OR River Des OR Du Lievre OR Red Ceder Lake OR Baskatong OR Cabonga OR Decelles OR Dozois OR Richelieu OR Rideau OR Riviere Des Quinze OR Ruisseau La Loutre OR Saguenay OR Saquenay Petite OR Shipshaw OR St. Maurice OR CAPS(Trout Creek) OR Victoria OR CAPS(White Bear) OR Winnepeg OR CAPS(Cranberry Lake) OR East Branch Oswegatchie OR Lake Champlain OR Lake George OR Lake Ontario OR Menominee OR Niagara OR Ottawa OR CAPS(Pine Creek) OR Raquette OR St. Lawrence OR Surannac Lakes</t>
  </si>
  <si>
    <t>SLAW</t>
  </si>
  <si>
    <t>St. Lawrence</t>
  </si>
  <si>
    <t>San Martin</t>
  </si>
  <si>
    <t>SMAR</t>
  </si>
  <si>
    <t>Sembakung</t>
  </si>
  <si>
    <t>SMBK</t>
  </si>
  <si>
    <t>St. Paul OR Diani</t>
  </si>
  <si>
    <t>SPAU</t>
  </si>
  <si>
    <t>St. Paul</t>
  </si>
  <si>
    <t>Sarata</t>
  </si>
  <si>
    <t>SRTA</t>
  </si>
  <si>
    <t>Sarstun</t>
  </si>
  <si>
    <t>SRTU</t>
  </si>
  <si>
    <t>Stikine OR Chutine OR Kinaskan Lake OR Klappan OR Pitman OR Spatsizi OR Tahltan OR Tahltan Lake OR Tanzilla OR Tumeka Lake OR Tuya</t>
  </si>
  <si>
    <t>STKN</t>
  </si>
  <si>
    <t>Stikine</t>
  </si>
  <si>
    <t>Struma OR Ana Dere OR Beglichka OR Bersinski dol OR Devinski  OR Kriva OR Matnitza OR Orolachka OR Stara reka OR Strouma OR Limni Kerkunis</t>
  </si>
  <si>
    <t>STUM</t>
  </si>
  <si>
    <t>Struma</t>
  </si>
  <si>
    <t>Suchiate</t>
  </si>
  <si>
    <t>SUCT</t>
  </si>
  <si>
    <t>Sujfun</t>
  </si>
  <si>
    <t>SUJF</t>
  </si>
  <si>
    <t>Sulak OR Avar Koisu</t>
  </si>
  <si>
    <t>SULK</t>
  </si>
  <si>
    <t>Sulak</t>
  </si>
  <si>
    <t xml:space="preserve">Tafna OR Meffrouch </t>
  </si>
  <si>
    <t>TAFN</t>
  </si>
  <si>
    <t>Tafna</t>
  </si>
  <si>
    <t>Tagus OR A Campon OR Alagon OR Alberche OR Algodor OR Arroyo Canares OR Arroyo de la Venta OR Arroyo Esparragalejo OR Arroyo Helechal OR Embalse de Alcantara I OR Embalse de Alcantara II OR Embalse de Borbollon OR Embalse de El Vado OR Embalse de Entrepenas OR Embalse de Gagriel y Galan OR Embalse de Rosarito OR Embalse de Santillana OR Embalse de Buendia OR Embalse del Burguillo OR Fresnera OR Generala OR Guadarrama OR Guadiela OR Guadiloba OR Henares OR Jarama OR Jartin OR Lozoya OR Manzanares OR Navalmedio OR Pradera OR Salor OR Tajo OR Tajo y Sever OR Tajuna OR Tamuja OR Tietar OR Yedra OR Alva OR Barragem de Cabril OR Barragem de Maranhao OR Barragem de Montargil OR Barragem de Pracana OR Embalse De Cedillo OR Erges OR Mondego OR Muje OR Ocreza OR Ponsul OR S. Vicente OR Seda OR Sever OR Soa OR Sor OR Sorraia OR Tejo OR Toulica OR Zezere</t>
  </si>
  <si>
    <t>TAGU</t>
  </si>
  <si>
    <t>Tagus/Tejo</t>
  </si>
  <si>
    <t>Taku OR Inklin OR Nahlin OR Nakina OR Shes Lay OR Sloko</t>
  </si>
  <si>
    <t>TAKU</t>
  </si>
  <si>
    <t>Taku</t>
  </si>
  <si>
    <t>Talas</t>
  </si>
  <si>
    <t>TALA</t>
  </si>
  <si>
    <t>Tami</t>
  </si>
  <si>
    <t>TAMI</t>
  </si>
  <si>
    <t>Tana OR Anarjohka OR Karasjokka</t>
  </si>
  <si>
    <t>TANA</t>
  </si>
  <si>
    <t>Tana</t>
  </si>
  <si>
    <t>Tano</t>
  </si>
  <si>
    <t>TANO</t>
  </si>
  <si>
    <t>Temash</t>
  </si>
  <si>
    <t>TEMA</t>
  </si>
  <si>
    <t>Terek</t>
  </si>
  <si>
    <t>TERK</t>
  </si>
  <si>
    <t>Shatt al Arab OR Dez OR Dicle OR Euphrates OR Karun OR Kashkan OR Lesser Zab OR Simareh OR Sultansuyu OR Tigris OR Tigris Khabur OR Al'Uzaym OR Aq Su OR Diyala OR Habbaniyah Lake OR Hawr al Awadh OR Hawr al Hammar OR Hawr as sa' diyah OR Hawr as saniyah OR Hawr as Sunwayquyah OR Razzaza Lake OR Sha'ib Hasb OR Tawuq Chay OR Tharthar Lake OR Wadi al Mani OR Wadi al Ubayyid OR Wadi Amij OR Wadi ar Patqah OR Wadi at Tubal OR Wadi Hawran OR Wadi Mulshi OR Wadi 'Ukash OR Zab al Kabir OR Zab assaghir OR Little Zab OR Wadi al Batin OR Wadi al Khurr OR Wadi Arar OR Wadi atTubal OR Wadi Hamir OR Buhayrat al Asad OR Sajur OR Wadi Shatnat as Salmas OR Frat OR Great Zab OR Khabur OR Murat OR Nizip OR Peri OR Tohma</t>
  </si>
  <si>
    <t>TIGR</t>
  </si>
  <si>
    <t>Tigris-Euphrates/Shatt al Arab</t>
  </si>
  <si>
    <t>Tijuana</t>
  </si>
  <si>
    <t>TIJU</t>
  </si>
  <si>
    <t>Tjeroaka OR Wanggoe</t>
  </si>
  <si>
    <t>TJWA</t>
  </si>
  <si>
    <t>Tjeroaka-Wanggoe</t>
  </si>
  <si>
    <t>Torne OR Kilpisjarvi OR Miekojarvi OR Jerisjarvi OR Konkamaalven OR Lanioalven OR Lataseno OR Muonioalven OR Parkajoki OR Tornealven OR Tornetrask</t>
  </si>
  <si>
    <t>TORN</t>
  </si>
  <si>
    <t>Torne/Tornealven</t>
  </si>
  <si>
    <t>Tarim</t>
  </si>
  <si>
    <t>TRIM</t>
  </si>
  <si>
    <t>Tuloma OR Iova OR Kovda OR Lotta OR Paz OR Tuloma OR Verhnetulomskoe OR Voroniya</t>
  </si>
  <si>
    <t>TULM</t>
  </si>
  <si>
    <t>Tuloma</t>
  </si>
  <si>
    <t>Tumbes</t>
  </si>
  <si>
    <t>TUMB</t>
  </si>
  <si>
    <t>Tumen</t>
  </si>
  <si>
    <t>TUMN</t>
  </si>
  <si>
    <t>Umbeluzi OR Black Umbuluzi OR White Umbuluzi</t>
  </si>
  <si>
    <t>UBLZ</t>
  </si>
  <si>
    <t>Umbeluzi</t>
  </si>
  <si>
    <t>Umba</t>
  </si>
  <si>
    <t>UMBA</t>
  </si>
  <si>
    <t>Unuk</t>
  </si>
  <si>
    <t>UNUK</t>
  </si>
  <si>
    <t>Utamboni</t>
  </si>
  <si>
    <t>UTBN</t>
  </si>
  <si>
    <t>Vanimo OR CAPS(Green)</t>
  </si>
  <si>
    <t>VAGR</t>
  </si>
  <si>
    <t>Vanimo-Green</t>
  </si>
  <si>
    <t>Vecht</t>
  </si>
  <si>
    <t>VCHT</t>
  </si>
  <si>
    <t>Valdivia</t>
  </si>
  <si>
    <t>VDVA</t>
  </si>
  <si>
    <t>Venta OR Lukstas</t>
  </si>
  <si>
    <t>VENT</t>
  </si>
  <si>
    <t>Venta</t>
  </si>
  <si>
    <t>Vefsna</t>
  </si>
  <si>
    <t>VFSN</t>
  </si>
  <si>
    <t>Vijose OR Brete OR Caush OR Cekreze OR Cycen OR Divjak OR Drin OR Dukaj OR Dushk OR Erzen OR Gadurove OR Germet OR Gjanice OR Gjokaj OR Gjynagal OR Holte OR Karbunar OR Kryekugi OR Malthike OR Manastir OR Manasufaj OR Morush OR Murriz OR Nashies OR P. madh OR Paskugan OR Pellg OR Perit OR Petresh OR Peze OR Prroi I zi OR Prroji arrave OR Prroji buzit OR Prroji zi OR Purrez OR Sauk OR Shegas OR Shkumbin OR Shupal OR Skrevanit OR Subloze OR Suka OR Tapize OR Teplas OR Terkuze OR Tirane OR Tomorrice OR Uji mbare OR Vashaj OR Vinokash OR Vrap OR Zajce OR Zh.I kuq OR Aoos OR Vjose</t>
  </si>
  <si>
    <t>VJSE</t>
  </si>
  <si>
    <t>Vijose</t>
  </si>
  <si>
    <t>Unable to download excel</t>
  </si>
  <si>
    <t>Velaka</t>
  </si>
  <si>
    <t>VLKA</t>
  </si>
  <si>
    <t>Volga OR Sheksna</t>
  </si>
  <si>
    <t>VOLG</t>
  </si>
  <si>
    <t>Volga</t>
  </si>
  <si>
    <t>Volta OR Massili OR Mouhoun OR CAPS(Black Volta) OR Nakanbe OR CAPS(White Volta) OR Nazinon OR CAPS(Red Volta) OR Nkambe OR Volta Blanche OR Daka OR Kulpawn OR Oti OR Tono</t>
  </si>
  <si>
    <t>VOLT</t>
  </si>
  <si>
    <t>Volta</t>
  </si>
  <si>
    <t>Vardar OR Bregalnica OR Crna OR Kriva OR Pcinja OR Treska OR Crna Reka OR Kocanska OR Lepenac OR Tresca</t>
  </si>
  <si>
    <t>VRDR</t>
  </si>
  <si>
    <t>Vardar</t>
  </si>
  <si>
    <t>Vistula OR Wista OR Lyasnaya OR Mukhavyets OR Ryta OR Biata OR Biatka OR Bug OR Bystrzyca OR Bzura OR Czarna OR Drweca OR Dtubnia OR Dunajec OR Itzanka OR Jezioro Jeziorak OR Jeziorka OR Krzna OR CAPS(Leg) OR Liwiec OR Lubuczowka OR Mtawka OR Nida OR Nurzec OR Ostaroa OR Pilica OR Raba OR Radomka OR Rzadza OR CAPS(San) OR Skrwa OR Sona OR Swider OR Wieprz OR Wistok OR Wistoka OR Wkra OR Wolica OR Zielawa OR Ozera Svityaz'ka</t>
  </si>
  <si>
    <t>VSTL</t>
  </si>
  <si>
    <t>Vistula/Wista</t>
  </si>
  <si>
    <t>Vuoksa OR Koitajoki OR Pielisjoki</t>
  </si>
  <si>
    <t>VUKS</t>
  </si>
  <si>
    <t>Vuoksa</t>
  </si>
  <si>
    <t>Whiting</t>
  </si>
  <si>
    <t>WHIT</t>
  </si>
  <si>
    <t>Wiedau</t>
  </si>
  <si>
    <t>WIED</t>
  </si>
  <si>
    <t>Yalu</t>
  </si>
  <si>
    <t>YALU</t>
  </si>
  <si>
    <t>Aros OR Laguna de los Mexicanos OR Nacozari OR Papigochic OR Presu de la Angostura OR Santa Maria OR Tomochic OR Tutuaca OR Yaqui</t>
  </si>
  <si>
    <t>YAQU</t>
  </si>
  <si>
    <t>Yaqui</t>
  </si>
  <si>
    <t>Yelcho</t>
  </si>
  <si>
    <t>YELC</t>
  </si>
  <si>
    <t>Any results list under 2 results must be downloaded as PDF instead of excel</t>
  </si>
  <si>
    <t>Jenisej OR Yenisey OR Angara OR Bakhta OR Bol Kheta OR Braskove Vdkhr OR Chadobets OR Chuna OR Egiyn OR Hanuy OR Ider OR Ilim OR Irkut OR Kan OR Kas OR Kochechan OR Nidym OR Nizhnyaya Tunguska OR Oka OR Ornon OR Oz. Keta OR Oz. Khantayskoye OR Oz. Pyasino OR Oz. Agaa OR Ozero Baykal OR Ozero Lama OR Podkamennaya Tunguska OR Selenge OR Sym OR Taymura OR Tembenchi OR Turu OR Tutonchana OR Uchami OR Uda OR Vel'mo OR Vivi OR Yeloguy OR Yenisei</t>
  </si>
  <si>
    <t>YNSY</t>
  </si>
  <si>
    <t>Jenisej/Yenisey</t>
  </si>
  <si>
    <t>Yser</t>
  </si>
  <si>
    <t>YSER</t>
  </si>
  <si>
    <t>Rachel</t>
  </si>
  <si>
    <t>Arm OR Atlin Lake OR Bennett Lake OR CAPS(Big Creek) OR Big Kalzas Lake OR CAPS(Big Salmon) OR CAPS(Brooks Arm) OR Chandindu OR Claire Lake OR Diamain Lake OR Donjek OR Drary Lake OR Earn Lake OR Fortymile OR Frenchman Lake OR Gladys Lake OR Jennings OR Jennings Lakes OR Kalzas OR Klondike OR Kluane Lake OR Laforce Lake OR CAPS(Lake Creek) OR Lake Laberge OR Little Atlin Lake OR CAPS(Little Salmon Lake) OR CAPS(Long Lake) OR Magundy OR CAPS(Mayo) OR CAPS(Moose Lake) OR N. CAPS(Big Salmon) OR Nisling klaza OR Nisultin Lake OR Nisutlin OR Nome Lake OR Nordenskiold OR Pelly OR CAPS(Quiet Lake) OR Sixty mile OR Stewart OR Stokes Lake OR Surprise Lake OR Swift OR Tagosj Lake OR Talbot Arm OR Tatlman Lake OR Tay OR Teslin Lake OR Tincap Lake OR Tutshi Lake OR Wellesley Lake OR CAPS(White) OR CAPS(Wolf Lake) OR Yukon OR Alatna OR Andreafsky OR CAPS(Bear Creek) OR CAPS(Beaver Creek) OR CAPS(Big Creek) OR CAPS(Big Creek Diversion) OR CAPS(Big Mud) OR CAPS(Birth Creek) OR CAPS(Black) OR Bonasila OR CAPS(Bull Creek) OR Chandalar OR Chandalar Lake OR Charley OR Chena OR Chisana OR Chitanana OR Christian OR Clear Creek OR Cosna OR CAPS(Crow) OR Curlew Lake OR Dakli OR Dalbi OR Dall OR Dela OR Dennison Fork OR CAPS(Dry Creek) OR East Fork Chandalar OR East Fork Andreafsky OR CAPS(Fish Creek) OR CAPS(Fish Lake) OR CAPS(Flat Creek) OR Foraker OR Forty mile OR Gisasa OR Goodpaster OR CAPS(Grass) OR Grayling Fork OR Hadweenzic OR Healy OR Healy Lake OR Henshaw Creek OR Herron OR Hess Creek OR Hodzana OR Hogatza OR Huslia OR CAPS(Indian) OR Indian Creek OR Iniakuk OR Innoko OR Jarvis Creek OR Jim OR John OR Junjik OR Kanati OR Kandik OR Kantisnna OR Kateel OR Kaum Lake OR Khotol OR Kobuk OR Koness OR Koyukuk OR Kulik Lake OR Ladue OR Lake George OR Lake Minchumina OR Litte Melozitna OR Little Black OR Little Delta OR CAPS(Little Mud) OR CAPS(Lost) OR Lost Creek OR Lower Mouth OR Marten Creek OR Mckinley OR Melozitna OR Middle Fork Fish Creek OR Middle Fork Fortymile OR CAPS(Moose Creek) OR Mosquito Fork OR CAPS(Mud Creek) OR N. Fork Indian Creek OR N. Ladue OR N. CAPS(Fork) OR N. Fork Fortymile OR Nabesna OR Nageethluk OR Nation OR Nenana OR Nest Creek OR Norutak Lake OR Nowitna OR Nulato OR Old John Lake OR Preacher Creek OR Ray OR CAPS(Reindeer) OR Run Creek OR S. Fork koyukuk OR Salcha OR CAPS(Salmon Fork) OR Seventy mile OR Sheenjek OR Smoke Creek OR Staver Creek OR Sucker OR Sulutna OR Susulatna OR Tanana OR Tatalina OR Tatlanika OR Tatondak OR Teklanika OR Telsitna OR Tetlin Lake OR Titna OR Tok OR Toklat OR Tolovana OR Tozitna OR CAPS(Trail Creek) OR Upper Mouth OR Victoria Creek OR W. Fork Fortymile OR CAPS(Wild) OR CAPS(Wind)  OR Woman Creek OR CAPS(Wood) OR Yuki OR Zitziana</t>
  </si>
  <si>
    <t>YUKN</t>
  </si>
  <si>
    <t>Yukon</t>
  </si>
  <si>
    <t>Zambezi OR Capembe OR Cuando OR Lomba OR Luangundo OR Luena OR Luiana OR Lungue-Bungo OR Lungwebunga OR Quembo OR Utembo OR Lago de Cahora Bassa OR Lake Chilwa OR Lake Malawi OR Lake Malombe OR Shire OR Basanga Swamp OR Dongwe OR Kabompo OR Lake Itezhi-Tezhi OR Linyati Chobe OR Luanginga OR Luege OR Lui OR Lukanga Swamp OR Lungwebungu OR Manyinga OR Mwom Bezhi OR Njoko OR West Lunga OR Changa OR Chirareri OR Dande OR Dere OR Dondo OR Gwayi OR Gwebi OR Kafue OR Lake Chivero OR Lake Kariba OR Manyame OR Marirangwe OR Mazowe OR Mtsike OR Munenga OR Munera OR Munganwa OR Munwa OR Munyati OR Munyera OR Munzi OR Mupfurudzi OR Mupinge OR Murowodzi OR Musengesi OR Mvumi OR Mwenje OR Nora OR Nyamanu OR Pembi OR Pote OR Nyama-shanga OR Rukute OR Ruya OR Saruwe OR Sengwa OR Serui OR Setorwe OR Shangani OR Suri Suri OR Susuje OR Umrodzi OR Umwindsi OR Vureneme OR Zambesi</t>
  </si>
  <si>
    <t>ZAMB</t>
  </si>
  <si>
    <t>Zambezi</t>
  </si>
  <si>
    <t>Zapaleri</t>
  </si>
  <si>
    <t>ZAPL</t>
  </si>
  <si>
    <t>Zarumilla</t>
  </si>
  <si>
    <t>ZARM</t>
  </si>
  <si>
    <t>Allahein</t>
  </si>
  <si>
    <t>ALHN</t>
  </si>
  <si>
    <t>Ems OR Eems OR Westerwoldse Aa OR Dollart OR Dollard OR Werse OR Munstersche Aa OR Hunze OR Drentsche Aa</t>
  </si>
  <si>
    <t>EMSX</t>
  </si>
  <si>
    <t>Ems</t>
  </si>
  <si>
    <t xml:space="preserve">Loa OR Silala OR Siloli OR Inacaliri OR Cajon OR San Pedro OR Salado OR Toconce </t>
  </si>
  <si>
    <t>LOAX</t>
  </si>
  <si>
    <t>Loa</t>
  </si>
  <si>
    <t>Specific search for groundwater</t>
  </si>
  <si>
    <t>First Level search (AND) - See instructions in the Events_SearchProtocol_RevisedFinal_20230628</t>
  </si>
  <si>
    <t xml:space="preserve">groundwater* OR aquifer* OR "ground water*" </t>
  </si>
  <si>
    <t>GRND</t>
  </si>
  <si>
    <t>Groundwater</t>
  </si>
  <si>
    <t>Tyler</t>
  </si>
  <si>
    <t>Has search been completed and all files downloaded?  (Y (15 July 2022) if through that date, or Y if through 1 July 2023/N/Issues) 
&gt;&gt;leave filtered N</t>
  </si>
  <si>
    <t>Additional Status Sheet Needs Either (1 July 2023 - 15 March 2024) or (15 July 2022 - 15 March 2024)</t>
  </si>
  <si>
    <t>Has the process sheet for the Excel download been completed? (Need Add to 2024/Y if sheet through 15 March 2024)/in progress) 
Index (start at 0), basin name, start and end date - the rest can be left blank)</t>
  </si>
  <si>
    <t>File Name (BCODE_excel.xlsx) 
(paste in the Automation &gt;&gt; Status Sheets Folder)</t>
  </si>
  <si>
    <t xml:space="preserve">
Has the process sheet been completed for the pdf download? (Y/N/in progress) </t>
  </si>
  <si>
    <t>Paste the URL of the Full Search</t>
  </si>
  <si>
    <t>Y (1 July 2023)</t>
  </si>
  <si>
    <t>1 July 2023 - 15 March 2024</t>
  </si>
  <si>
    <t>ADIG_excel.xlsx</t>
  </si>
  <si>
    <t>https://advance-lexis-com.ezproxy.library.tufts.edu/search/?pdmfid=1516831&amp;crid=fec62cbd-b7b8-4d21-88a4-2032ad75d6b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dig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t>
  </si>
  <si>
    <t>AKPA_excel.xlsx</t>
  </si>
  <si>
    <t>https://advance-lexis-com.ezproxy.library.tufts.edu/search/?pdmfid=1516831&amp;crid=57793ffd-53d5-4693-8e20-0f0093f74143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kp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t>
  </si>
  <si>
    <t>ALKL_excel.xlsx</t>
  </si>
  <si>
    <t>https://advance-lexis-com.ezproxy.library.tufts.edu/search/?pdmfid=1516831&amp;crid=70807c1d-644d-4515-8945-8dcc70ca15b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lako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t>
  </si>
  <si>
    <t>ALSK_excel.xlsx</t>
  </si>
  <si>
    <t>https://advance-lexis-com.ezproxy.library.tufts.edu/search/?pdmfid=1516831&amp;crid=2d355827-c7a2-4149-981f-5a23811f1279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lsek+OR+Bates+Lak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t>
  </si>
  <si>
    <t>AMCR_excel.xlsx</t>
  </si>
  <si>
    <t>https://advance-lexis-com.ezproxy.library.tufts.edu/search/?pdmfid=1516831&amp;crid=f527046e-bb0e-4f82-9a1a-3d513f064c56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macu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t>
  </si>
  <si>
    <t>Update Sheet to 15 March 2024</t>
  </si>
  <si>
    <t>Need Add to 2024</t>
  </si>
  <si>
    <t>AMUR_excel.xlsx</t>
  </si>
  <si>
    <t>https://advance-lexis-com.ezproxy.library.tufts.edu/search/?pdmfid=1516831&amp;crid=86bbb8d1-9f00-481b-bfc5-ec60245e8070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mur+OR+Emur+OR+Huma+OR+Muling+OR+Naoli+OR+Songhua+OR+Amagun+OR+Argun+OR+Bikin+OR+Bureya+OR+CAPS(Dep)+OR+Gazimur+OR+Gilyuy+OR+Ingoda+OR+Kur+OR+Onon+OR+Oz.+Chukchagirskoye+OR+Oz.+Khanka+OR+Oz.+Udyl%27+OR+Shilka+OR+CAPS(Tok)+OR+Urmi+OR+Ussuri+OR+Ze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t>
  </si>
  <si>
    <t>In Progress</t>
  </si>
  <si>
    <t>search button will not work</t>
  </si>
  <si>
    <t>ANAK_excel.xlsx</t>
  </si>
  <si>
    <t>https://advance-lexis-com.ezproxy.library.tufts.edu/search/?pdmfid=1516831&amp;crid=cc93a4c4-5e84-47b0-b381-745024f8ec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Nahr+Al+Kabir+OR+Nahr+Ibrahi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t>
  </si>
  <si>
    <t>ANGE_excel.xlsx</t>
  </si>
  <si>
    <t>https://advance-lexis-com.ezproxy.library.tufts.edu/search/?pdmfid=1516831&amp;crid=5cc87410-4e22-46a3-834d-e1dd20f5ca4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germ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11f9a7c2-3787-4e1f-abf0-aa84db7ef7dc</t>
  </si>
  <si>
    <t>N/A</t>
  </si>
  <si>
    <t>ARAL_excel.xlsx</t>
  </si>
  <si>
    <t>https://advance-lexis-com.ezproxy.library.tufts.edu/search/?pdmfid=1516831&amp;crid=5123f8a8-66d5-412b-9e68-8108147f3012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ral+OR+Syr+Daria+OR+Naryn+OR+Amu+Daria+OR+Syr+Darya+OR+Amu+Darya+OR+Akhangaran+OR+Chirch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</si>
  <si>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ASIX_excel.xlsx</t>
  </si>
  <si>
    <t>https://advance-lexis-com.ezproxy.library.tufts.edu/search/?pdmfid=1516831&amp;crid=125e1e8b-67f5-41c6-9bc4-892d7f24c175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si+OR+Orontes+OR+Amik+Gol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</si>
  <si>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ATBN_excel.xlsx</t>
  </si>
  <si>
    <t>https://advance-lexis-com.ezproxy.library.tufts.edu/search/?pdmfid=1516831&amp;crid=1c630e8f-6daf-4129-b0df-b86e28979d77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rtibonite+OR+Depelig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</si>
  <si>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ttps://advance-lexis-com.ezproxy.library.tufts.edu/search/?pdmfid=1516831&amp;crid=9908ff38-8b27-4fe7-b8b0-a20e85ff405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stara+Cha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</si>
  <si>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ATRK_excel.xlsx</t>
  </si>
  <si>
    <t>https://advance-lexis-com.ezproxy.library.tufts.edu/search/?pdmfid=1516831&amp;crid=d7c8c0bd-2a77-4637-87c0-4bda5500c8a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trak+OR+Sumbe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</si>
  <si>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AVLS_excel.xlsx</t>
  </si>
  <si>
    <t>https://advance-lexis-com.ezproxy.library.tufts.edu/search/?pdmfid=1516831&amp;crid=8c2a0306-6bd5-43e9-9f2f-e43f16156521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vil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</si>
  <si>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AWSH_excel.xlsx</t>
  </si>
  <si>
    <t>https://advance-lexis-com.ezproxy.library.tufts.edu/search/?pdmfid=1516831&amp;crid=13500b23-77c4-4282-8bd0-7f0e38d4fe6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bhe+Bid+Hayak+OR+Awash+OR+Finochaa+OR+Gemeri+Hayak+OR+Petit+Akabi+OR+Sendaf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</si>
  <si>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AYSN_excel.xlsx</t>
  </si>
  <si>
    <t>https://advance-lexis-com.ezproxy.library.tufts.edu/search/?pdmfid=1516831&amp;crid=d8fcd9d3-f35d-406d-9efc-b83edc6b50e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ys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</si>
  <si>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Selena</t>
  </si>
  <si>
    <t>BAKR_excel.xlsx</t>
  </si>
  <si>
    <t>https://advance-lexis-com.ezproxy.library.tufts.edu/search/?pdmfid=1516831&amp;crid=2765f148-e3e7-4702-8620-72fa608c3e66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ker+OR+Cochra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t>
  </si>
  <si>
    <t>BANN_excel.xlsx</t>
  </si>
  <si>
    <t>https://advance-lexis-com.ezproxy.library.tufts.edu/search/?pdmfid=1516831&amp;crid=bdf289b9-2548-42b2-a0c9-f8d1687acb8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nn+OR+CAPS(Black+Water)+OR+Laugh+Neagh+OR+CAPS(Lower+Laugh)+Eri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</si>
  <si>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ttps://advance-lexis-com.ezproxy.library.tufts.edu/search/?pdmfid=1516831&amp;crid=05dd58a7-7328-4bd8-be6c-fab6fa677d83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hr+at+Tuba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</si>
  <si>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BDSO_excel.xlsx</t>
  </si>
  <si>
    <t>https://advance-lexis-com.ezproxy.library.tufts.edu/search/?pdmfid=1516831&amp;crid=f5c75d3c-cf7a-4550-ba19-5bd871ca8a5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idaso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</si>
  <si>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BENT_excel.xlsx</t>
  </si>
  <si>
    <t>https://advance-lexis-com.ezproxy.library.tufts.edu/search/?pdmfid=1516831&amp;crid=9354e9ef-0eaa-4cf0-aa72-d327a5092ae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nito+OR+Nte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ea21021-dc37-4a81-b832-05155671fa9c</t>
  </si>
  <si>
    <t>BIAX_excel.xlsx</t>
  </si>
  <si>
    <t>https://advance-lexis-com.ezproxy.library.tufts.edu/search/?pdmfid=1516831&amp;crid=92b2a1b4-db1b-411e-8c2e-920b95ed23d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</si>
  <si>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BLUN_excel.xlsx</t>
  </si>
  <si>
    <t>https://advance-lexis-com.ezproxy.library.tufts.edu/search/?pdmfid=1516831&amp;crid=e888d314-77f7-4e3f-a2f1-865073da9bb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ilu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</si>
  <si>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BLZE_excel.xlsx</t>
  </si>
  <si>
    <t>https://advance-lexis-com.ezproxy.library.tufts.edu/search/?pdmfid=1516831&amp;crid=f7b4e445-5373-4006-aeb7-2496d0d52126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lize+OR+Mop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</si>
  <si>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BNGU_excel.xlsx</t>
  </si>
  <si>
    <t>https://advance-lexis-com.ezproxy.library.tufts.edu/search/?pdmfid=1516831&amp;crid=180415c0-8e43-4520-8653-869158ff96b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nga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</si>
  <si>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ttps://advance-lexis-com.ezproxy.library.tufts.edu/search/?pdmfid=1516831&amp;crid=41dc382b-a91d-42df-85a9-8090b5e4ac77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ed+Bou+Namouss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</si>
  <si>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ttps://advance-lexis-com.ezproxy.library.tufts.edu/search/?pdmfid=1516831&amp;crid=5cfdbf52-01c6-4ea6-a2f1-45a00a7aa495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rbyelv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</si>
  <si>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BRKA_excel.xlsx</t>
  </si>
  <si>
    <t>https://advance-lexis-com.ezproxy.library.tufts.edu/search/?pdmfid=1516831&amp;crid=a82cb786-4b70-48df-b5a3-d11279eb2ba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ra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</si>
  <si>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BRMA_excel.xlsx</t>
  </si>
  <si>
    <t>https://advance-lexis-com.ezproxy.library.tufts.edu/search/?pdmfid=1516831&amp;crid=cbc2aefd-5148-4695-98b2-d760dfa96dc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ri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</si>
  <si>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BRTA_excel.xlsx</t>
  </si>
  <si>
    <t>https://advance-lexis-com.ezproxy.library.tufts.edu/search/?pdmfid=1516831&amp;crid=83bf363b-a1d9-444b-857d-cc3861d0b5b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rt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</si>
  <si>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BUZI_excel.xlsx</t>
  </si>
  <si>
    <t>https://advance-lexis-com.ezproxy.library.tufts.edu/search/?pdmfid=1516831&amp;crid=4cf3c068-91d1-4158-8a98-9c24e56be26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uzi+OR+Rio+Revue+OR+Chibudzana+OR+Nyanhombo+OR+CAPS(Rio)+OR+Sterkstroo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t>
  </si>
  <si>
    <t>CAET_excel.xlsx</t>
  </si>
  <si>
    <t>https://advance-lexis-com.ezproxy.library.tufts.edu/search/?pdmfid=1516831&amp;crid=8dc38fb9-1dca-4aea-a498-1a9a71a4b044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et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</si>
  <si>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CAXX_excel.xlsx</t>
  </si>
  <si>
    <t>https://advance-lexis-com.ezproxy.library.tufts.edu/search/?pdmfid=1516831&amp;crid=4345e65f-f82e-4ac4-a27f-aa5d25e37c8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OR+Song+La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t>
  </si>
  <si>
    <t>CDLR_excel.xlsx</t>
  </si>
  <si>
    <t>https://advance-lexis-com.ezproxy.library.tufts.edu/search/?pdmfid=1516831&amp;crid=4a02d1eb-ab6e-4993-a8db-953c415e9d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ndelar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</si>
  <si>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CGNL_excel.xlsx</t>
  </si>
  <si>
    <t>https://advance-lexis-com.ezproxy.library.tufts.edu/search/?pdmfid=1516831&amp;crid=edb82f26-b73e-449e-bf22-01365ce02f16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anguino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</si>
  <si>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CHIC_excel.xlsx</t>
  </si>
  <si>
    <t>https://advance-lexis-com.ezproxy.library.tufts.edu/search/?pdmfid=1516831&amp;crid=d06c77df-579e-42f5-9551-f4566ff78792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rmen+Silva+OR+Chic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</si>
  <si>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CHIR_excel.xlsx</t>
  </si>
  <si>
    <t>https://advance-lexis-com.ezproxy.library.tufts.edu/search/?pdmfid=1516831&amp;crid=c7ab914a-5f9f-4dc7-be90-0adb54b29f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i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</si>
  <si>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CHLT_excel.xlsx</t>
  </si>
  <si>
    <t>https://advance-lexis-com.ezproxy.library.tufts.edu/search/?pdmfid=1516831&amp;crid=d1d9aa4a-9463-4b32-a6a0-e894c7f37274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olute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</si>
  <si>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CHUY_excel.xlsx</t>
  </si>
  <si>
    <t>https://advance-lexis-com.ezproxy.library.tufts.edu/search/?pdmfid=1516831&amp;crid=632e06c9-07a1-4ca6-8e4b-bda84799c3c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u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</si>
  <si>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CLDO_excel.xlsx</t>
  </si>
  <si>
    <t>https://advance-lexis-com.ezproxy.library.tufts.edu/search/?pdmfid=1516831&amp;crid=632539ee-495b-4fcb-bf75-744db69763dd&amp;pdpsf=&amp;pdpost=&amp;pdstartin=urn%3Ahlct%3A16&amp;oc</t>
  </si>
  <si>
    <t>CLKT_excel.xlsx</t>
  </si>
  <si>
    <t>https://advance-lexis-com.ezproxy.library.tufts.edu/search/?pdmfid=1516831&amp;crid=c83ef7b4-c5f7-49f1-9c9a-903371d8b94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ilka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</si>
  <si>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Search Not Running</t>
  </si>
  <si>
    <t>No new results (1 total)</t>
  </si>
  <si>
    <t>https://advance-lexis-com.ezproxy.library.tufts.edu/search/?pdmfid=1516831&amp;crid=8ee0d871-0154-4ed5-a30f-493d6eff1bd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iloang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</si>
  <si>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CNCS_excel.xlsx</t>
  </si>
  <si>
    <t>https://advance-lexis-com.ezproxy.library.tufts.edu/search/?pdmfid=1516831&amp;crid=9f2ae588-eb46-47d6-a860-4c65475d23e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ncoso+OR+Lauca+OR+Lagoon+de+Coipas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</si>
  <si>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CNCT_excel.xlsx</t>
  </si>
  <si>
    <t>https://advance.lexis.com/search/?pdmfid=1516831&amp;crid=1bbf0658-8491-4737-8bae-31be6ae878b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nnecticu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102aeb2a-f850-4637-abc6-325ff14b68a9</t>
  </si>
  <si>
    <t xml:space="preserve">*Too big, search not running </t>
  </si>
  <si>
    <t>COCO_excel.xlsx</t>
  </si>
  <si>
    <t>https://advance-lexis-com.ezproxy.library.tufts.edu/search/?pdmfid=1516831&amp;crid=9b0aa22b-8b13-49d7-9d2a-ec44d0c031f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Coco)+OR+Segovia+OR+Amaka+OR+Bocay+OR+Waspu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</si>
  <si>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COMA_excel.xlsx</t>
  </si>
  <si>
    <t>https://advance-lexis-com.ezproxy.library.tufts.edu/search/?pdmfid=1516831&amp;crid=87b2a064-2cb7-4844-9af2-0b9042ecd5b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ma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</si>
  <si>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COPR_excel.xlsx</t>
  </si>
  <si>
    <t>https://advance-lexis-com.ezproxy.library.tufts.edu/search/?pdmfid=1516831&amp;crid=7d4b6b02-803f-4af1-8e54-f4ba1b4b5f38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Coppe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</si>
  <si>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CROS_excel.xlsx</t>
  </si>
  <si>
    <t>https://advance.lexis.com/search/?pdmfid=1516831&amp;crid=1fff4352-9630-4cb1-9897-9e6b6e68ff3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Cros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6c061383-d2b1-49a1-9617-98848a94b271</t>
  </si>
  <si>
    <t>No new results (2 total)</t>
  </si>
  <si>
    <t>https://advance-lexis-com.ezproxy.library.tufts.edu/search/?pdmfid=1516831&amp;crid=e5ee8e27-a878-45e0-ab85-a1124dfb2836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rantijn+OR+Couranty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</si>
  <si>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CRUH_excel.xlsx</t>
  </si>
  <si>
    <t>https://advance-lexis-com.ezproxy.library.tufts.edu/search/?pdmfid=1516831&amp;crid=5666a3e8-e8dc-45d4-b2f4-6a1a2c0e5d2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ru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</si>
  <si>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CSTL_excel.xlsx</t>
  </si>
  <si>
    <t>https://advance-lexis-com.ezproxy.library.tufts.edu/search/?pdmfid=1516831&amp;crid=b67f52b5-4a07-40ca-95d5-29796b831148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stletow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</si>
  <si>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CSTO_excel.xlsx</t>
  </si>
  <si>
    <t>https://advance-lexis-com.ezproxy.library.tufts.edu/search/?pdmfid=1516831&amp;crid=e99fba97-375b-4454-939d-33ffe5db2ff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estos+OR+Nuo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</si>
  <si>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ttps://advance-lexis-com.ezproxy.library.tufts.edu/search/?pdmfid=1516831&amp;crid=ef213ed4-d774-4feb-9a7f-289863f632e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atan+Achu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</si>
  <si>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CTNA_excel.xlsx</t>
  </si>
  <si>
    <t>https://advance-lexis-com.ezproxy.library.tufts.edu/search/?pdmfid=1516831&amp;crid=75787082-7ab4-4cb0-b2c6-bd4ccdf9aa33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eti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</si>
  <si>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CTTB_excel.xlsx</t>
  </si>
  <si>
    <t>https://advance-lexis-com.ezproxy.library.tufts.edu/search/?pdmfid=1516831&amp;crid=a3d81650-179b-4c00-b568-92b32f18c324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tatumb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</si>
  <si>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CULL_excel.xlsx</t>
  </si>
  <si>
    <t>https://advance-lexis-com.ezproxy.library.tufts.edu/search/?pdmfid=1516831&amp;crid=0ac2b69f-d5f6-416f-9c47-281b1f23a017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ull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3092d136-ec6e-43bd-89c2-d8aa8d65e64e</t>
  </si>
  <si>
    <t>CVLY_excel.xlsx</t>
  </si>
  <si>
    <t>https://advance-lexis-com.ezproxy.library.tufts.edu/search/?pdmfid=1516831&amp;crid=e1ce2255-8075-4896-a055-4ed8bf4d257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vally+OR+Dub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06%2F30%2F2008to07%2F01%2F2023%7Cdatebetween&amp;pdfromadvancedsearchpage=true&amp;ecomp=qxLg9kk&amp;earg=pdpsf&amp;prid=ca2ac95e-6e8c-4fe3-b6fd-ed3bd8f901fa</t>
  </si>
  <si>
    <t>15 July 2022 - 15 March 2024</t>
  </si>
  <si>
    <t>https://advance-lexis-com.ezproxy.library.tufts.edu/search/?pdmfid=1516831&amp;crid=cc0a312a-3919-40b7-8666-1aa95733fc86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aou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</si>
  <si>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ttps://advance-lexis-com.ezproxy.library.tufts.edu/search/?pdmfid=1516831&amp;crid=392dda26-f4b9-43aa-88b2-d5533c0ad863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igu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</si>
  <si>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DNPR_excel.xlsx</t>
  </si>
  <si>
    <t>https://advance-lexis-com.ezproxy.library.tufts.edu/search/?pdmfid=1516831&amp;crid=c262fbc4-e51e-466f-9cd7-dedf985a91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nieper+OR+Byarezina+OR+Pinsk+Marshes+OR+Ptsich+OR+Sozh+OR+Iput%27+OR+Desna+OR+Dniepr+OR+Horyn%27+OR+Inhulets+OR+Kremenchats%27ke+Vdskh+OR+Prypyats%27+OR+Ps%27ol+OR+Seym+OR+Sluch+OR+Snov+OR+Stokhid+OR+Styr+OR+Sula+OR+Uzh+OR+Vopskla+O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ac210845-5016-4c9c-9cea-7e40c1c3ad78</t>
  </si>
  <si>
    <t>DNSR_excel.xlsx</t>
  </si>
  <si>
    <t>https://advance-lexis-com.ezproxy.library.tufts.edu/search/?pdmfid=1516831&amp;crid=9a944edd-2945-4016-975e-8b25660682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niester+OR+Dniestr+OR+Sere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</si>
  <si>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DONX_excel.xlsx</t>
  </si>
  <si>
    <t>https://advance-lexis-com.ezproxy.library.tufts.edu/search/?pdmfid=1516831&amp;crid=910a8d5a-a503-4ad9-b40b-c6c3dabda935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Don)+OR+Kalaus+OR+Khoper+OR+Medreditsa+OR+Oskol+OR+Oz+Manych+Gudilo+OR+Sal+OR+Sir.+Donets+OR+Sosna+OR+Tsimlyanskoye+Vdkhr+OR+Vorona+OR+Voronez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t>
  </si>
  <si>
    <t>DRAG_excel.xlsx</t>
  </si>
  <si>
    <t>https://advance-lexis-com.ezproxy.library.tufts.edu/search/?pdmfid=1516831&amp;crid=049a1b6f-f85a-48a6-838d-75b31e3b0e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ragonj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</si>
  <si>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DRAX_excel.xlsx</t>
  </si>
  <si>
    <t>https://advance-lexis-com.ezproxy.library.tufts.edu/search/?pdmfid=1516831&amp;crid=20910843-ccef-468a-b76f-a51ef5bbdf69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ra+OR+Qued+Zemoul+OR+Qued+Dad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</si>
  <si>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DRIN_excel.xlsx</t>
  </si>
  <si>
    <t>https://advance-lexis-com.ezproxy.library.tufts.edu/search/?pdmfid=1516831&amp;crid=77b7af4a-a2ea-4da0-8ca3-5bf44041b49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emerice+OR+Drin+OR+Drinizi+OR+Fshat+OR+Gjemon+OR+Gjonc+OR+Kamenice+OR+Kasaj+OR+Lavdan+OR+Leminot+OR+Markez+OR+Ohridsko+Jezero+OR+Lake+Ohrid+OR+Prifte+OR+Sopale+OR+Teqese+OR+T%27plan+OR+Tropoje+OR+Verlen+OR+Zberga+OR+Beli+Drim+OR+Pecska+Bistri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d7000717-2661-4f9f-bce1-069052346960</t>
  </si>
  <si>
    <t>DSHT_excel.xlsx</t>
  </si>
  <si>
    <t>https://advance-lexis-com.ezproxy.library.tufts.edu/search/?pdmfid=1516831&amp;crid=ec6a221f-a0a6-4a59-bf93-cd04f72d7616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ash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</si>
  <si>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DUGV_excel.xlsx</t>
  </si>
  <si>
    <t>https://advance-lexis-com.ezproxy.library.tufts.edu/search/?pdmfid=1516831&amp;crid=e28ab2be-8da9-4a62-a481-580ecbdd6b4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rysa+OR+Dzirina+Zakh+OR+Dzisna+OR+Voz+Drysvyaty+OR+Voz+Snudy+OR+Levuo+OR+Aiviekeste+OR+Berze+OR+Daugava+OR+Lecaba+OR+Lielupe+OR+Lubanas+Ezers+OR+Lucava+OR+Maita+OR+Memele+OR+Misa+OR+Musa+OR+Ogre+OR+Pededze+OR+Reznas+Ezers+OR+Rusonu+Ezers+OR+Sivera+Ezers+OR+Sve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</si>
  <si>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DURO_excel.xlsx</t>
  </si>
  <si>
    <t>https://advance-lexis-com.ezproxy.library.tufts.edu/search/?pdmfid=1516831&amp;crid=bc0b27ea-6b4f-4af3-ba39-77c362e3f42e&amp;pdpsf=&amp;pdpost=&amp;pdstartin=urn%3Ahlct%3A16&amp;oc</t>
  </si>
  <si>
    <t>EBRO_excel.xlsx</t>
  </si>
  <si>
    <t>https://advance-lexis-com.ezproxy.library.tufts.edu/search/?pdmfid=1516831&amp;crid=2efcc3c1-efff-445c-a28b-5d6da530eda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Aguas+Limpias)+OR+Al+canadre+OR+Ara+OR+Aragon+OR+Arba+OR+Arga+OR+Barranco+El+Grado+OR+Bergantes+OR+Cinca+OR+Ebro+OR+Embalse+de+Santolea+OR+Embalse+de+Sotonera+OR+Embalse+de+Canelles+OR+Embalse+de+Mediano+OR+Embalse+de+Santa+Anna+OR+Embalse+de+Talarn+OR+Embalse+de+Yesa+OR+Embalse+de+Mequinenza+OR+Esca+OR+Escarra+OR+Esera+OR+Espot+OR+Gallego+OR+Guadalope+OR+Huerva+OR+Irati+OR+Jalon+OR+Jiloca+OR+Lago+Arriel+OR+Martcn+OR+Noguera+Pallaresa+OR+Noguera+Ribagorzana+OR+Panta+de+Riva-roga+OR+Peguera+OR+Pineta+OR+Riguel+OR+Segre+OR+Somero+OR+Urdicet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oc</t>
  </si>
  <si>
    <t>ELBE_excel.xlsx</t>
  </si>
  <si>
    <t>https://advance-lexis-com.ezproxy.library.tufts.edu/search/?pdmfid=1516831&amp;crid=9eec26f9-71d1-4593-97d6-02fbf647ebc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lbe+OR+Bilina+OR+Moricuv+potok+OR+Mze+OR+Odrava+OR+Ohre+OR+Ploucnice+OR+Radbuza+OR+Tepla+OR+Aland+OR+Alster+OR+Biese+OR+Bleiloch+Talsperre+OR+Bode+OR+Do+sse+OR+Dumme+OR+Ehle+OR+Fiener+Bruch+OR+Fuhne+OR+Havel+OR+Ilm+OR+Jeetzel+OR+Kalte+Bode+OR+Milde+OR+Mulde+OR+Rappbode+OR+Saale+OR+Schaal+see+OR+Schilde+OR+Schwarze+Elster+OR+Selke+OR+Stepenitz+OR+Stor+OR+Sude+OR+Uchte+OR+Wipper+OR+Zillierbac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557a7b65-7153-418e-882c-c69412ac0387</t>
  </si>
  <si>
    <t>No Results, No Sheet</t>
  </si>
  <si>
    <t xml:space="preserve">No Results: https://advance-lexis-com.ezproxy.library.tufts.edu/search/?pdmfid=1516831&amp;crid=eb3bc25c-74a0-4a56-9193-92c33dfc0cf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lanc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c9c2ecba-7beb-42a5-a60a-a5e918b6ccab </t>
  </si>
  <si>
    <t>ERNE_excel.xlsx</t>
  </si>
  <si>
    <t>https://advance-lexis-com.ezproxy.library.tufts.edu/search/?pdmfid=1516831&amp;crid=3c792f09-00d6-4086-89fb-2bbbb4d292c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rne+OR+Lower+Lough+Erne+OR+Upper+Lough+Er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</si>
  <si>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ESQB_excel.xlsx</t>
  </si>
  <si>
    <t>https://advance-lexis-com.ezproxy.library.tufts.edu/search/?pdmfid=1516831&amp;crid=be303dda-00a4-428d-8ad2-812ee1be0d26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ssequibo+OR+Burro-Burro+OR+Illiwa+OR+Kwitaro+OR+Mazarani+OR+Mazaruni+OR+Rupununi+OR+Siaruni+OR+Takutu+OR+Tacuta+OR+Cuyu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</si>
  <si>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ETOS_excel.xlsx</t>
  </si>
  <si>
    <t>https://advance-lexis-com.ezproxy.library.tufts.edu/search/?pdmfid=1516831&amp;crid=b2fc88af-0427-4c15-ae54-182c84350589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uvelai+OR+Etosh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</si>
  <si>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FANE_excel.xlsx</t>
  </si>
  <si>
    <t>https://advance-lexis-com.ezproxy.library.tufts.edu/search/?pdmfid=1516831&amp;crid=3cfd586e-cd6f-4055-b7ca-002387f89e95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a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</si>
  <si>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FLRY_excel.xlsx</t>
  </si>
  <si>
    <t>https://advance-lexis-com.ezproxy.library.tufts.edu/search/?pdmfid=1516831&amp;crid=0320dd96-8cba-420b-96f5-b3d6f35c61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Flurr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</si>
  <si>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FLYX_excel.xlsx</t>
  </si>
  <si>
    <t>https://advance-lexis-com.ezproxy.library.tufts.edu/search/?pdmfid=1516831&amp;crid=11a1bce5-4737-4648-943e-932e04c76dc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Fl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</si>
  <si>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FNNY_excel.xlsx</t>
  </si>
  <si>
    <t>https://advance-lexis-com.ezproxy.library.tufts.edu/search/?pdmfid=1516831&amp;crid=57da4d69-616b-47e6-a103-1f9995183849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enne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</si>
  <si>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FOYL_excel.xlsx</t>
  </si>
  <si>
    <t>https://advance-lexis-com.ezproxy.library.tufts.edu/search/?pdmfid=1516831&amp;crid=1a78a04c-87d9-49c4-ba38-a67583a66951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oyl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</si>
  <si>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FRSR_excel.xlsx</t>
  </si>
  <si>
    <t>https://advance-lexis-com.ezproxy.library.tufts.edu/search/?pdmfid=1516831&amp;crid=32fbbde7-68a5-41fe-9351-8915f54ee649&amp;pdpsf=&amp;pdpost=&amp;pdstartin=urn%3Ahlct%3A16&amp;oc</t>
  </si>
  <si>
    <t>FRTH_excel.xlsx</t>
  </si>
  <si>
    <t>https://advance-lexis-com.ezproxy.library.tufts.edu/search/?pdmfid=1516831&amp;crid=424f41b8-eea6-4c7d-a141-d184de22df12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irth+OR+Joe+OR+Manch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22151f5d-1e04-42a1-8a68-d7956acc0dfd</t>
  </si>
  <si>
    <t>GALG_excel.xlsx</t>
  </si>
  <si>
    <t>https://advance-lexis-com.ezproxy.library.tufts.edu/search/?pdmfid=1516831&amp;crid=356e8c8c-671d-468a-8f91-e24c3269bf3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llegos+OR+CAPS(Chic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29%2F2008to06%2F30%2F2023%7Cdatebetween&amp;pdfromadvancedsearchpage=true&amp;ecomp=qxLg9kk&amp;earg=pdpsf&amp;prid=361ae249-1b51-4f8d-974c-4ffbfafa8386</t>
  </si>
  <si>
    <t>GAMB_excel.xlsx</t>
  </si>
  <si>
    <t>https://advance-lexis-com.ezproxy.library.tufts.edu/search/?pdmfid=1516831&amp;crid=e4808135-3e86-4a77-b983-b461fac6b31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mbia+OR+Sandoug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aff113b6-2cc6-49f7-bcf9-d55d8442ceae</t>
  </si>
  <si>
    <t>GANG_excel.xlsx</t>
  </si>
  <si>
    <t>https://advance-lexis-com.ezproxy.library.tufts.edu/search/?pdmfid=1516831&amp;crid=e89ed53a-fe10-4903-9135-1e93873f2961&amp;pdpsf=&amp;pdpost=&amp;pdstartin=urn%3Ahlct%3A16&amp;oc</t>
  </si>
  <si>
    <t>GASH_excel.xlsx</t>
  </si>
  <si>
    <t>https://advance-lexis-com.ezproxy.library.tufts.edu/search/?pdmfid=1516831&amp;crid=f3a133da-90ab-4c4d-991c-bdd5938a5be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s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48c41af8-1dae-41be-b3c2-70390c3997b8</t>
  </si>
  <si>
    <t>GEBA_excel.xlsx</t>
  </si>
  <si>
    <t>https://advance-lexis-com.ezproxy.library.tufts.edu/search/?pdmfid=1516831&amp;crid=61964243-5f3a-42ea-b8b6-cce4e699f8a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eba+OR+Corubal+OR+Kayang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</si>
  <si>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GJLV_excel.xlsx</t>
  </si>
  <si>
    <t>https://advance-lexis-com.ezproxy.library.tufts.edu/search/?pdmfid=1516831&amp;crid=3700c62c-6be9-45f1-9c06-333bfe0bb400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rijalva+OR+Grijalva+OR+CAPS(Azu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d5b0e834-c850-4903-b587-5d382a230411</t>
  </si>
  <si>
    <t>GLAM_excel.xlsx</t>
  </si>
  <si>
    <t>https://advance-lexis-com.ezproxy.library.tufts.edu/search/?pdmfid=1516831&amp;crid=987fd3f0-6fa9-4ce5-be1a-a9dee0e108a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la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</si>
  <si>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GLNA_excel.xlsx</t>
  </si>
  <si>
    <t>https://advance-lexis-com.ezproxy.library.tufts.edu/search/?pdmfid=1516831&amp;crid=931e6758-7784-4f99-b649-698574383833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la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</si>
  <si>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GLOK_excel.xlsx</t>
  </si>
  <si>
    <t>https://advance-lexis-com.ezproxy.library.tufts.edu/search/?pdmfid=1516831&amp;crid=84d6780f-f1f4-46b2-9014-3bdfc9efc886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olo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</si>
  <si>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GOSR_excel.xlsx</t>
  </si>
  <si>
    <t>https://advance-lexis-com.ezproxy.library.tufts.edu/search/?pdmfid=1516831&amp;crid=3f155370-8b84-4025-99ad-2af56163d96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oascor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</si>
  <si>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GRON_excel.xlsx</t>
  </si>
  <si>
    <t>https://advance-lexis-com.ezproxy.library.tufts.edu/search/?pdmfid=1516831&amp;crid=94b1f816-1e50-4727-87c7-b3de1d7b0393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ffluent+du+Lot+OR+Agout+OR+Alrance+OR+Ariege+OR+Arrats+OR+Aveyron+OR+Bage+OR+Baise+OR+Ceret+OR+Cerou+OR+Dadou+OR+Dourdou+OR+Dropt+OR+Garonne+OR+Gelise+OR+Gers+OR+Gesse+OR+Gimone+OR+Labenede+OR+Lezert+OR+Lot+OR+Osse+OR+Save+OR+Tarn+OR+Tolerme+OR+CAPS(Touch)+OR+Truel+OR+Truyere+OR+Valescure+OR+Vebre+OR+Viaur+OR+Vioulou+OR+Ardila+OR+Campilhas+OR+Chanca+OR+Cobres+OR+Dogeba+OR+Odivelas+OR+Roxo+OR+Vale+Diogo+OR+Vascao+OR+Xarra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t>
  </si>
  <si>
    <t>https://advance-lexis-com.ezproxy.library.tufts.edu/search/?pdmfid=1516831&amp;crid=85ff7ff7-204f-4222-ba1c-ba1508195f0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ruzskiy+Yelanch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</si>
  <si>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*No Results for Search</t>
  </si>
  <si>
    <t>GSCR_excel.xlsx</t>
  </si>
  <si>
    <t>https://advance-lexis-com.ezproxy.library.tufts.edu/search/?pdmfid=1516831&amp;crid=0f78b520-0c71-424e-a2c8-2bd554a2f4b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Great)+Scarci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3c84cd28-db4f-4118-821f-7d4f84b30330</t>
  </si>
  <si>
    <t>GUDN_excel.xlsx</t>
  </si>
  <si>
    <t>https://advance-lexis-com.ezproxy.library.tufts.edu/search/?pdmfid=1516831&amp;crid=5045584b-918d-4201-8ae2-7431ad0b56d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uadia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</si>
  <si>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GUIR_excel.xlsx</t>
  </si>
  <si>
    <t>https://advance-lexis-com.ezproxy.library.tufts.edu/search/?pdmfid=1516831&amp;crid=f6fcff16-660c-4234-a3f0-85b894bf889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ui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</si>
  <si>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GUJA_excel.xlsx</t>
  </si>
  <si>
    <t>https://advance-lexis-com.ezproxy.library.tufts.edu/search/?pdmfid=1516831&amp;crid=80200f82-f7d0-4cf6-bc3e-a0228037e464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uj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</si>
  <si>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HANX_excel.xlsx</t>
  </si>
  <si>
    <t>https://advance-lexis-com.ezproxy.library.tufts.edu/search/?pdmfid=1516831&amp;crid=c5f0c1b9-010f-43db-9a21-bd1b38122093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pyung+OR+Banbyon+OR+Bongjeon+OR+Buk+OR+Chachon+OR+Chongyong+OR+Chungdo+OR+Dae+OR+Donghwa+OR+Eumsung+OR+Gabsan+OR+Geumho+OR+Geumpo+OR+Gisegok+OR+Guan+OR+Gugeo+OR+Gumi+OR+Gupyung+OR+Gyungho+OR+CAPS(Han)+OR+Hangye+OR+Ieon+OR+Ilgwang+OR+Janggok+OR+Jangsu+OR+Jasan+OR+Jinchon+OR+Jinwi+OR+Jongri+OR+Joryong+OR+Jungdong+OR+Milwon+OR+Mulchi+OR+Munam+OR+Myungam+OR+Naega+OR+Naesung+OR+Nakdong+OR+Namhan+OR+Pumgok+OR+Sagae+OR+Samgi+OR+Seokhwa+OR+Soga+OR+Suyeong+OR+Suyong+OR+Wangjwa+OR+Woldong+OR+Yo+OR+Yongchon+OR+Yongge+OR+Yongwoon+OR+Chongryong+OR+Hancho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oc</t>
  </si>
  <si>
    <t>HARI_excel.xlsx</t>
  </si>
  <si>
    <t>https://advance-lexis-com.ezproxy.library.tufts.edu/search/?pdmfid=1516831&amp;crid=e03c870d-a6c5-4f81-a016-238627a1a3a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ari+OR+Harirud)+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</si>
  <si>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No new results (3)</t>
  </si>
  <si>
    <t>https://advance-lexis-com.ezproxy.library.tufts.edu/search/?pdmfid=1516831&amp;crid=b3a3964b-15fb-4936-b966-4a9e1be8bf75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amun+I+Mashkel+OR+Raksh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</si>
  <si>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HLMD_excel.xlsx</t>
  </si>
  <si>
    <t>https://advance-lexis-com.ezproxy.library.tufts.edu/search/?pdmfid=1516831&amp;crid=138a28b9-b110-44a5-9fd6-a183312424e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b-e+Istadeh-ye+OR+Arghanadab+OR+Dasht-e+Nuvar+OR+Hamuh-e+Puzak+OR+Helmand+OR+Rowd-e+Lurah+OR+Tarnak+OR+Kor+OR+Sivand)+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aff113b6-2cc6-49f7-bcf9-d55d8442ceae</t>
  </si>
  <si>
    <t>HOND_excel.xlsx</t>
  </si>
  <si>
    <t>https://advance-lexis-com.ezproxy.library.tufts.edu/search/?pdmfid=1516831&amp;crid=0a5140c4-c1d1-45a1-aca1-ff9ae32cbe5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ondo+OR+CAPS(Azu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</si>
  <si>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HSIX_excel.xlsx</t>
  </si>
  <si>
    <t>https://advance-lexis-com.ezproxy.library.tufts.edu/search/?pdmfid=1516831&amp;crid=5cf5cd88-6fb8-4e79-bc0e-97986b7d5b64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si+OR+Bei+Jiang+OR+Dachun+He+OR+Lian+Jiang+OR+Liangjiang+OR+Maotiao+He+OR+Miaotiaohe+OR+Sancha+He+OR+Sanchahe+OR+Weijang+OR+Wengjiang)+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</si>
  <si>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ICMT_excel.xlsx</t>
  </si>
  <si>
    <t>https://advance-lexis-com.ezproxy.library.tufts.edu/search/?pdmfid=1516831&amp;crid=14b017ab-a4fb-4090-aeb2-56d6c8563ca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ncomati+OR+Komat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</si>
  <si>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ILIX_excel.xlsx</t>
  </si>
  <si>
    <t>https://advance-lexis-com.ezproxy.library.tufts.edu/search/?pdmfid=1516831&amp;crid=c4fc1968-e6d9-4a9d-8a2d-bdd45aa55a3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li+OR+Kunes+He+OR+Illi+OR+Malaya+Almaatin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</si>
  <si>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INDL_excel.xlsx</t>
  </si>
  <si>
    <t>https://advance-lexis-com.ezproxy.library.tufts.edu/search/?pdmfid=1516831&amp;crid=dfcbdca6-9399-4877-a988-6cd2d25f3982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ndalsalv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</si>
  <si>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 xml:space="preserve">Sukriti </t>
  </si>
  <si>
    <t>INDU_excel.xlsx</t>
  </si>
  <si>
    <t>https://advance-lexis-com.ezproxy.library.tufts.edu/search/?pdmfid=1516831&amp;crid=da216ebb-9541-4eee-883e-7ba82ec01ff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ndus+OR+Shiqnan+OR+Aarzan+Garzan+OR+Beas+OR+Bodhegaon+OR+Gilgit+OR+Jogwada+OR+Koyna+OR+Kundlika+OR+Saraswati+OR+Sindphana+OR+Chenab+OR+Haro+OR+Jamergal+OR+Jhelum+OR+Kabul+OR+Khal+Kass+OR+Kundar+OR+Manch+har+Lake+OR+Nain+Sikh+OR+Ravi+OR+Saddle+Dam+OR+Sutlej+OR+Swat+OR+Tain+Pura+OR+Zhob)+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03%2F05%2F2024%7Cdatebetween&amp;pdfromadvancedsearchpage=true&amp;ecomp=qxLg9kk&amp;earg=pdpsf&amp;prid=3003265a-f001-443f-99b5-135de3011c66</t>
  </si>
  <si>
    <t>IRWD_excel.xlsx</t>
  </si>
  <si>
    <t>https://advance-lexis-com.ezproxy.library.tufts.edu/search/?pdmfid=1516831&amp;crid=cc7478ee-c5e2-4073-9690-ea9065c1fdd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rrawaddy+OR+Daying+OR+Long+Chuan+OR+Thoubal+Turel+OR+Logtak+Lake+OR+Chidwin+OR+Chindwin+OR+Chinthe+OR+Gedu+OR+Heinhtun+OR+Iudawgyi+Lake+OR+Kaukkwe+OR+Kiu+OR+Kodan+OR+Lang+OR+CAPS(Ma)+OR+Mali+OR+Manipur+OR+Meza+OR+CAPS(Mon)+OR+Mu+OR+Myitnge+OR+Myittha+OR+Nampak+OR+Namyin+OR+Nat+E-zu+OR+Nmai+OR+Pani+OR+Schweli+OR+Tainggwin+OR+Tamai+OR+Tarung+OR+Tizu-Nantaleik+OR+Uyn+OR+CAPS(Yao)+OR+CAPS(Yu)+OR+Zahaw)+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t>
  </si>
  <si>
    <t>ISNZ_excel.xlsx</t>
  </si>
  <si>
    <t>https://advance-lexis-com.ezproxy.library.tufts.edu/search/?pdmfid=1516831&amp;crid=f071d0bf-7c39-45c1-81af-75fd01173f5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sonzo+OR+So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</si>
  <si>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JAPR_excel.xlsx</t>
  </si>
  <si>
    <t>https://advance-lexis-com.ezproxy.library.tufts.edu/search/?pdmfid=1516831&amp;crid=318a5b92-6c09-4816-a079-2e8223d8cf40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ayapu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</si>
  <si>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JCBS_excel.xlsx</t>
  </si>
  <si>
    <t>https://advance-lexis-com.ezproxy.library.tufts.edu/search/?pdmfid=1516831&amp;crid=28bfac80-0b01-4800-b385-8bdcaf7b108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acob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</si>
  <si>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JORD_excel.xlsx</t>
  </si>
  <si>
    <t>https://advance-lexis-com.ezproxy.library.tufts.edu/search/?pdmfid=1516831&amp;crid=93d2dd1b-1bf9-4a63-872c-008deedb7d88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ordan+OR+CAPS(Dead+Sea)+OR+Sea+of+Galilee+OR+Nahr+az+Zarga+OR+Wadi+al+Jaydyb+OR+Yarmuk+OR+Yarmouk+OR+Hasb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efec660b-1716-4f2b-8a85-94c9da0c13fc</t>
  </si>
  <si>
    <t>JUBA_excel.xlsx</t>
  </si>
  <si>
    <t>https://advance-lexis-com.ezproxy.library.tufts.edu/search/?pdmfid=1516831&amp;crid=e74ae721-8912-4969-87b5-2fab8e375725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uba+OR+Shibeli+OR+Baua+OR+Daketa+OR+Fafen+OR+Genale+OR+Jerer+OR+Ramis+OR+T%27er+OR+Wabe+Gestro+OR+Wabe+Shebele+OR+Welmel+OR+Dawa+OR+Madax+Gooy+OR+Webi+Shabell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3450c861-2b6a-4fb9-9693-033ae8d8a687</t>
  </si>
  <si>
    <t>JURD_excel.xlsx</t>
  </si>
  <si>
    <t>https://advance-lexis-com.ezproxy.library.tufts.edu/search/?pdmfid=1516831&amp;crid=866e7274-e4e9-4c92-b0f6-3e2eb35ee404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urad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</si>
  <si>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KALD_excel.xlsx</t>
  </si>
  <si>
    <t>https://advance-lexis-com.ezproxy.library.tufts.edu/search/?pdmfid=1516831&amp;crid=b597f95b-b7cb-4a2d-b884-a3c713a3ac9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alad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</si>
  <si>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KEMI_excel.xlsx</t>
  </si>
  <si>
    <t>https://advance-lexis-com.ezproxy.library.tufts.edu/search/?pdmfid=1516831&amp;crid=a9830040-d1db-43c6-98d6-41f082773eb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emi+OR+Alasuolijarvi+OR+Askanjoki+OR+Jeesiojoki+OR+Juotasjoki+OR+Kemijoki+OR+Kemiyari+OR+Kitinen+OR+Luiro+OR+Luirojoki+OR+Ounasjoki+OR+Porttipahata+Reservoir+OR+Unar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</si>
  <si>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ttps://advance-lexis-com.ezproxy.library.tufts.edu/search/?pdmfid=1516831&amp;crid=97f1a821-62ab-4937-a7bc-8c529bd6ecd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ogiln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</si>
  <si>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ttps://advance-lexis-com.ezproxy.library.tufts.edu/search/?pdmfid=1516831&amp;crid=9e0cc511-b48c-4ba9-bbbe-8357424f0475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omoe+OR+Bayakokore+OR+Iringou+OR+Leraba-Occidentale+O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</si>
  <si>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KNFL_excel.xlsx</t>
  </si>
  <si>
    <t>https://advance-lexis-com.ezproxy.library.tufts.edu/search/?pdmfid=1516831&amp;crid=0b343cbc-e631-4485-b7c3-fdf9e4484380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arnaphuli+OR+Karnaful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</si>
  <si>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KRKA_excel.xlsx</t>
  </si>
  <si>
    <t>https://advance-lexis-com.ezproxy.library.tufts.edu/search/?pdmfid=1516831&amp;crid=7c165d40-0659-4234-8a0f-83bd964e654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r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</si>
  <si>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No new results (6 total)</t>
  </si>
  <si>
    <t>https://advance-lexis-com.ezproxy.library.tufts.edu/search/?pdmfid=1516831&amp;crid=9f1573f3-ef4a-43f9-b470-d21048568cb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laralven+OR+Lettan+OR+Ore+alv)+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</si>
  <si>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KUNE_excel.xlsx</t>
  </si>
  <si>
    <t>https://advance-lexis-com.ezproxy.library.tufts.edu/search/?pdmfid=1516831&amp;crid=589c068f-0964-457b-a19b-66a8b4bb1d50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unene+OR+Cunene+OR+Caculuva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</si>
  <si>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KURA_excel.xlsx</t>
  </si>
  <si>
    <t>https://advance-lexis-com.ezproxy.library.tufts.edu/search/?pdmfid=1516831&amp;crid=c0ef51f4-ad4e-45e5-a38a-ef42e16a6850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ura+OR+Araks+OR+Azat+OR+Lori+OR+Mingacevir+Reservior+OR+Aragvi+OR+Iori+OR+Khrami+OR+Ahar+OR+Ajy+Chay+OR+Aras+OR+Qare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</si>
  <si>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LAVA_excel.xlsx</t>
  </si>
  <si>
    <t>https://advance-lexis-com.ezproxy.library.tufts.edu/search/?pdmfid=1516831&amp;crid=579dddea-20ca-43a3-a5f6-13e9468309e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va+OR+Prege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</si>
  <si>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ttps://advance-lexis-com.ezproxy.library.tufts.edu/search/?pdmfid=1516831&amp;crid=c0b6ac03-0c1d-43b1-9102-c07c328ad7a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guna+Filare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</si>
  <si>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LIMA_excel.xlsx</t>
  </si>
  <si>
    <t>LKAZ_excel.xlsx</t>
  </si>
  <si>
    <t>https://advance-lexis-com.ezproxy.library.tufts.edu/search/?pdmfid=1516831&amp;crid=7989030f-f83f-4a2e-ac95-c2f7c1ed1ac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Azue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07b1738-8278-4e7c-aa0b-94b3e27fedbe</t>
  </si>
  <si>
    <t>LKCH_excel.xlsx</t>
  </si>
  <si>
    <t>https://advance-lexis-com.ezproxy.library.tufts.edu/search/?pdmfid=1516831&amp;crid=ad300935-37ab-488a-aef9-d58481828678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Chad+OR+Bamingui+OR+Bangoran+OR+Bongoul+OR+Goro+OR+Gribingui+OR+Kamear+OR+Manovo+OR+Ouandja+OR+Ouham+OR+Oulou+OR+Pende+OR+Vakaga+OR+Vassako+OR+Yata+OR+Dillia+OR+Tegouma+OR+Kano+OR+Katagum+OR+Komadugu+Gana+OR+Ngadda+OR+Yedseram+OR+Wadi+Tiwal+OR+Ba+illi+OR+Bahr+Aoak+OR+Bahr+Azourn+OR+Bahr+el+Ghazal+OR+Soro+OR+Bahr+Ergig+OR+Bahr+Keita+OR+Doka+OR+Bahr+Salamat+OR+Chari+OR+Logo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</si>
  <si>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LKCW_excel.xlsx</t>
  </si>
  <si>
    <t>https://advance-lexis-com.ezproxy.library.tufts.edu/search/?pdmfid=1516831&amp;crid=e1f32c47-f022-49bf-b5e0-d4f96c8a794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Chilw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</si>
  <si>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LKCY_excel.xlsx</t>
  </si>
  <si>
    <t>https://advance-lexis-com.ezproxy.library.tufts.edu/search/?pdmfid=1516831&amp;crid=bbc1ca4c-226e-4f87-9467-0686d4c778a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Cay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c56d6623-ee53-4b67-8ffa-a33271ef8ac9</t>
  </si>
  <si>
    <t>https://advance-lexis-com.ezproxy.library.tufts.edu/search/?pdmfid=1516831&amp;crid=86b1ddd1-6732-4cd0-a1f2-022c3876b9b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De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</si>
  <si>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LKEQ_excel.xlsx</t>
  </si>
  <si>
    <t>LKFN_excel.xlsx</t>
  </si>
  <si>
    <t>https://advance-lexis-com.ezproxy.library.tufts.edu/search/?pdmfid=1516831&amp;crid=8628251c-18dc-4ae8-9718-5cd95bad4f3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Fagna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07b1738-8278-4e7c-aa0b-94b3e27fedbe</t>
  </si>
  <si>
    <t>LKNT_excel.xlsx</t>
  </si>
  <si>
    <t>https://advance-lexis-com.ezproxy.library.tufts.edu/search/?pdmfid=1516831&amp;crid=1fb50ed1-dba8-464e-bb1a-8cdd8f122d01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Natron+OR+Ewaso+Ng%27i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</si>
  <si>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*Less than 1,000 results but could not download due to Nexis Uni limitations</t>
  </si>
  <si>
    <t>LKPP_excel.xlsx</t>
  </si>
  <si>
    <t>https://advance-lexis-com.ezproxy.library.tufts.edu/search/?pdmfid=1516831&amp;crid=9ef6968b-6c03-4728-87da-7e4549cf175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Prespa+OR+Frankovishte+OR+Grabovice+OR+Grunjas+OR+Hyle+OR+Jame+OR+Mujaz+OR+P.pusave+OR+Plloce+OR+Stropske+OR+Vakef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fe8ec578-ce27-40aa-bce7-5ca9fedf00c0</t>
  </si>
  <si>
    <t>LKRW_excel.xlsx</t>
  </si>
  <si>
    <t>https://advance-lexis-com.ezproxy.library.tufts.edu/search/?pdmfid=1516831&amp;crid=3273a709-8340-4666-b68d-bb5069d15f85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Rukw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</si>
  <si>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ttps://advance-lexis-com.ezproxy.library.tufts.edu/search/?pdmfid=1516831&amp;crid=4fe458ec-c16e-4b12-956e-ac3394d37c65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Titicaca+Poopo+OR+Lagoon+Arap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</si>
  <si>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LKTK_excel.xlsx</t>
  </si>
  <si>
    <t>https://advance-lexis-com.ezproxy.library.tufts.edu/search/?pdmfid=1516831&amp;crid=fe60c784-0c37-44fa-8d5f-4699285769b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Turkana+OR+Ch%27eq+bahr+OR+Gojeb+OR+Omo+OR+Ferguson%27s+Gulf+OR+Lotagipi+Swamp+OR+Turkwe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</si>
  <si>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LKUN_excel.xlsx</t>
  </si>
  <si>
    <t>https://advance-lexis-com.ezproxy.library.tufts.edu/search/?pdmfid=1516831&amp;crid=94cdf160-0dd4-4f1e-aabd-e15243f7be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Ubsa+OR+Nu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07b1738-8278-4e7c-aa0b-94b3e27fedbe</t>
  </si>
  <si>
    <t>LLUP_excel.xlsx</t>
  </si>
  <si>
    <t>https://advance-lexis-com.ezproxy.library.tufts.edu/search/?pdmfid=1516831&amp;crid=7d5e38ec-4513-4b70-a4f9-9b5a31d928d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ielupe+OR+Levuo+OR+Musa+OR+Berze+OR+Lecava+OR+Memele+OR+Misa+OR+Sve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</si>
  <si>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LMEL_excel.xlsx</t>
  </si>
  <si>
    <t>https://advance-lexis-com.ezproxy.library.tufts.edu/search/?pdmfid=1516831&amp;crid=c1517a57-85b4-423c-acdd-35aa71182b9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ugh+Melvi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</si>
  <si>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LMPA_excel.xlsx</t>
  </si>
  <si>
    <t>https://advance-lexis-com.ezproxy.library.tufts.edu/search/?pdmfid=1516831&amp;crid=0b81513b-4f4a-4c2b-8ad2-ec8ace7d70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empa+OR+Lago+de+Guya+OR+CAPS(Grande)+OR+Embalse+Cerron+Grand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</si>
  <si>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LMPO_excel.xlsx</t>
  </si>
  <si>
    <t>https://advance-lexis-com.ezproxy.library.tufts.edu/search/?pdmfid=1516831&amp;crid=d0983342-b882-429b-83db-b8c543a6ffa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impopo+OR+Changane+OR+Elands+OR+Great+Brak+OR+Great+Letaba+OR+Klein+Olifants+OR+Olifants+OR+Oompies+OR+Bubi+OR+Insiza+OR+Mchabezi+OR+Mtshabezi+OR+Mwenezi+OR+Shashe+OR+Thali+OR+Tuli+OR+Umtsabezi+OR+Umzingw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cf38ca7d-24d2-46cd-84fb-dfb3433ad27c</t>
  </si>
  <si>
    <t>LMRM_excel.xlsx</t>
  </si>
  <si>
    <t>https://advance-lexis-com.ezproxy.library.tufts.edu/search/?pdmfid=1516831&amp;crid=b2cf0191-1d24-4ebc-ad0e-2d98ad9fc44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goon+Dos+Patos+OR+Lagoon+Mirim+OR+Yaguaro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</si>
  <si>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LOES_excel.xlsx</t>
  </si>
  <si>
    <t>https://advance-lexis-com.ezproxy.library.tufts.edu/search/?pdmfid=1516831&amp;crid=f9b55fea-0a4a-452c-899f-313004c94979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</si>
  <si>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ttps://advance-lexis-com.ezproxy.library.tufts.edu/search/?pdmfid=1516831&amp;crid=c42f1145-0529-46e7-b68d-35a6729338f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ff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</si>
  <si>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LPTA_excel.xlsx</t>
  </si>
  <si>
    <t>https://advance-lexis-com.ezproxy.library.tufts.edu/search/?pdmfid=1516831&amp;crid=9b0c1dda-3cfb-4c4a-b414-c9ad583e9797&amp;pdpsf=&amp;pdpost=&amp;pdstartin=urn%3Ahlct%3A16&amp;oc</t>
  </si>
  <si>
    <t>LSCR_excel.xlsx</t>
  </si>
  <si>
    <t>https://advance-lexis-com.ezproxy.library.tufts.edu/search/?pdmfid=1516831&amp;crid=6f68fdf7-679e-4765-8c2e-736d4351540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Little)+Scarcies+OR+Mong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</si>
  <si>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LUCI_excel.xlsx</t>
  </si>
  <si>
    <t>https://advance-lexis-com.ezproxy.library.tufts.edu/search/?pdmfid=1516831&amp;crid=811cb035-29ce-4c76-a48b-fd2ce38f520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uc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7491191-a269-4c88-adca-9c55da362b0d</t>
  </si>
  <si>
    <t>MANA_excel.xlsx</t>
  </si>
  <si>
    <t>https://advance-lexis-com.ezproxy.library.tufts.edu/search/?pdmfid=1516831&amp;crid=a8dac97f-89cb-422f-b525-17d662e903d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na+OR+Mor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</si>
  <si>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MARO_excel.xlsx</t>
  </si>
  <si>
    <t>https://advance-lexis-com.ezproxy.library.tufts.edu/search/?pdmfid=1516831&amp;crid=632ce127-bf4b-4084-8584-ecdc26068bd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</si>
  <si>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MASS_excel.xlsx</t>
  </si>
  <si>
    <t>https://advance-lexis-com.ezproxy.library.tufts.edu/search/?pdmfid=1516831&amp;crid=464d4532-da95-4694-9b7c-8c9115b05452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Massac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</si>
  <si>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MAXX_excel.xlsx</t>
  </si>
  <si>
    <t>https://advance-lexis-com.ezproxy.library.tufts.edu/search/?pdmfid=1516831&amp;crid=b1b69dc8-f92e-4efb-9e30-d7acd3d40199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Ma)+OR+He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</si>
  <si>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MBEX_excel.xlsx</t>
  </si>
  <si>
    <t>https://advance-lexis-com.ezproxy.library.tufts.edu/search/?pdmfid=1516831&amp;crid=bee11631-827e-4431-9fce-922ae62234a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b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</si>
  <si>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MDJD_excel.xlsx</t>
  </si>
  <si>
    <t>https://advance-lexis-com.ezproxy.library.tufts.edu/search/?pdmfid=1516831&amp;crid=926c9ab5-004f-4f4c-8011-6ca27bf1019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edjerda+OR+Medjerda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</si>
  <si>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MEKO_excel.xlsx</t>
  </si>
  <si>
    <t>https://advance-lexis-com.ezproxy.library.tufts.edu/search/?pdmfid=1516831&amp;crid=146a24ab-9e36-455d-827e-a295bfa5cf11&amp;pdpsf=&amp;pdpost=&amp;pdstartin=urn%3Ahlct%3A16&amp;oc</t>
  </si>
  <si>
    <t>MHRI_excel.xlsx</t>
  </si>
  <si>
    <t>https://advance-lexis-com.ezproxy.library.tufts.edu/search/?pdmfid=1516831&amp;crid=7215790a-6632-4cc5-a28e-b5dbfe3e625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uhuri+OR+CAPS(Little)+Fe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</si>
  <si>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MINO_excel.xlsx</t>
  </si>
  <si>
    <t>https://advance-lexis-com.ezproxy.library.tufts.edu/search/?pdmfid=1516831&amp;crid=93ff2cc8-680e-4372-b153-63da2a90854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llarinos+OR+Boeza+OR+Casoyo+OR+Eiros+OR+Lona+OR+Mino+OR+Valseco+OR+Arnoia+OR+Sil+OR+Lor+OR+Bibei+OR+Cua+OR+Laguna+de+Ante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</si>
  <si>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MIRA_excel.xlsx</t>
  </si>
  <si>
    <t>https://advance-lexis-com.ezproxy.library.tufts.edu/search/?pdmfid=1516831&amp;crid=bb90f2b1-7b92-4d8a-a3f2-1c0aafd36b1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i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</si>
  <si>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https://advance-lexis-com.ezproxy.library.tufts.edu/search/?pdmfid=1516831&amp;crid=a1e400d6-b8ee-4dc2-9bc4-c023844c9c1f&amp;pdpsf=&amp;pdpost=&amp;pdstartin=urn%3Ahlct%3A16&amp;oc</t>
  </si>
  <si>
    <t>No new results (7 total)</t>
  </si>
  <si>
    <t>https://advance-lexis-com.ezproxy.library.tufts.edu/search/?pdmfid=1516831&amp;crid=63a58ceb-12d8-455a-96ce-3a73c60e0a4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iu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</si>
  <si>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MOAX_excel.xlsx</t>
  </si>
  <si>
    <t>https://advance-lexis-com.ezproxy.library.tufts.edu/search/?pdmfid=1516831&amp;crid=2ca7bed2-0403-4231-a6bc-4dd59c49664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</si>
  <si>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MOHO_excel.xlsx</t>
  </si>
  <si>
    <t>https://advance-lexis-com.ezproxy.library.tufts.edu/search/?pdmfid=1516831&amp;crid=aa2c115a-4f21-4fe9-9d73-102bb8447617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h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</si>
  <si>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MONO_excel.xlsx</t>
  </si>
  <si>
    <t>https://advance-lexis-com.ezproxy.library.tufts.edu/search/?pdmfid=1516831&amp;crid=c0b71d33-843b-41b1-8af7-7c546a5e78f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no+OR+Og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</si>
  <si>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ttps://advance-lexis-com.ezproxy.library.tufts.edu/search/?pdmfid=1516831&amp;crid=7da855cf-ec4c-474a-bff0-f25f75ecfcf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taqu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</si>
  <si>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MPUT_excel.xlsx</t>
  </si>
  <si>
    <t>https://advance-lexis-com.ezproxy.library.tufts.edu/search/?pdmfid=1516831&amp;crid=96b67859-12c7-49d5-83e0-0ab256f19d65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put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</si>
  <si>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MRGB_excel.xlsx</t>
  </si>
  <si>
    <t>https://advance-lexis-com.ezproxy.library.tufts.edu/search/?pdmfid=1516831&amp;crid=f600e47e-35e6-47ea-b4c5-92d367c6fa4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urgab+OR+Gushg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</si>
  <si>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MRNI_excel.xlsx</t>
  </si>
  <si>
    <t>https://advance-lexis-com.ezproxy.library.tufts.edu/search/?pdmfid=1516831&amp;crid=e0982c53-9f1a-4213-b08a-fbc5015c52d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roni+OR+Litani+Itany+OR+Marouini+OR+Ouagui+OR+Tampo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</si>
  <si>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MRSA_excel.xlsx</t>
  </si>
  <si>
    <t>https://advance-lexis-com.ezproxy.library.tufts.edu/search/?pdmfid=1516831&amp;crid=53499b89-d6f6-4e20-95d3-6d30b485ebd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ritsa+OR+Ovtcharitza+OR+Skender+de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</si>
  <si>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MTJE_excel.xlsx</t>
  </si>
  <si>
    <t>https://advance-lexis-com.ezproxy.library.tufts.edu/search/?pdmfid=1516831&amp;crid=a8bf82cb-32e2-4e9f-8645-acf4d83bfa41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taj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</si>
  <si>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NAAF_excel.xlsx</t>
  </si>
  <si>
    <t>https://advance-lexis-com.ezproxy.library.tufts.edu/search/?pdmfid=1516831&amp;crid=953b7027-f6ac-47e8-93a5-026f332a63b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af)+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</si>
  <si>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https://advance-lexis-com.ezproxy.library.tufts.edu/search/?pdmfid=1516831&amp;crid=0902cc7f-9cfe-4030-b767-aac6566b9fc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atam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</si>
  <si>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No new results (5 total)</t>
  </si>
  <si>
    <t>https://advance-lexis-com.ezproxy.library.tufts.edu/search/?pdmfid=1516831&amp;crid=4ad7c6ef-2c68-4810-8549-c20f1e01b19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idelv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</si>
  <si>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NEGR_excel.xlsx</t>
  </si>
  <si>
    <t>https://advance-lexis-com.ezproxy.library.tufts.edu/search/?pdmfid=1516831&amp;crid=df89cc60-a4b6-40f5-af62-80e7103cb051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Neg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7cf45134-0e9a-4554-acf9-d27cd7fb6e08</t>
  </si>
  <si>
    <t>NELS_excel.xlsx</t>
  </si>
  <si>
    <t>https://advance-lexis-com.ezproxy.library.tufts.edu/search/?pdmfid=1516831&amp;crid=57900f24-29c0-4e62-89a2-5c84c66c053e&amp;pdpsf=&amp;pdpost=&amp;pdstartin=urn%3Ahlct%3A16&amp;oc</t>
  </si>
  <si>
    <t>NGER_excel.xlsx</t>
  </si>
  <si>
    <t>https://advance-lexis-com.ezproxy.library.tufts.edu/search/?pdmfid=1516831&amp;crid=6e05b0e1-55e4-4609-a31f-14a690c91110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irba+OR+Lagdo+Reservoir+OR+CAPS(Rey)+OR+O%3ATi-n-Amzi+OR+Milo+OR+Tinkisso+OR+Bagoe+OR+Bani+OR+Baoule+OR+Lac+Do+OR+Lac+Garou+OR+Lac+Aougoundou+OR+Lac+Korarou+OR+Lac+Niangay+OR+Lake+Debo+OR+Vallee+de+L%27azaouak+OR+Dallol+Bosso+OR+Eliki+OR+Mekrou+OR+Dinya+OR+Gongola+OR+Gurara+OR+Ka+OR+Kaduna+OR+Kainj+Lake+OR+Kam+OR+Katsin+a+Ala+OR+Niger+OR+Oli+OR+Sokoto+OR+Taraba+OR+Teshi+OR+Wase+OR+Zamfara+OR+Benu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ef65351d-a502-4433-9460-dc4b0d723102</t>
  </si>
  <si>
    <t>NILE_excel.xlsx</t>
  </si>
  <si>
    <t>https://advance-lexis-com.ezproxy.library.tufts.edu/search/?pdmfid=1516831&amp;crid=64caeae9-9cd2-483f-ac69-fb551ffb9d4a&amp;pdpsf=&amp;pdpost=&amp;pdstartin=urn%3Ahlct%3A16&amp;oc</t>
  </si>
  <si>
    <t>NMAN_excel.xlsx</t>
  </si>
  <si>
    <t>https://advance-lexis-com.ezproxy.library.tufts.edu/search/?pdmfid=1516831&amp;crid=98c387e3-0b58-4bea-a678-a6979296eda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eman+OR+Byarezina+OR+Isloch%27+OR+Kotra+OR+Mowchadz+OR+Shchara+OR+Srislach+OR+Usa+OR+Viliya+OR+Voz.+Narach+OR+Voz.+Srir+OR+Vynya+OR+Zal%27ryanka+OR+Akmend+OR+Dievogala+OR+Dubysa+OR+Dusia+OR+Grauze+OR+Jura+OR+Mitura+OR+Nemunas+OR+Neris+OR+Nevezis+OR+Nova+OR+Obelis+OR+Ova+OR+Sesuris+OR+Striuna+OR+Susre+OR+Sventoj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</si>
  <si>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NRTV_excel.xlsx</t>
  </si>
  <si>
    <t>https://advance-lexis-com.ezproxy.library.tufts.edu/search/?pdmfid=1516831&amp;crid=98b06ce5-5956-4cde-91c2-3e1d600b69c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eretv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t>
  </si>
  <si>
    <t>NRVA_excel.xlsx</t>
  </si>
  <si>
    <t>https://advance-lexis-com.ezproxy.library.tufts.edu/search/?pdmfid=1516831&amp;crid=c27ebd1d-9e16-4966-ab7f-939e80efa3d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rva+OR+Peipus+OR+Vohandu+OR+Cherekha+OR+Kuchva+OR+L.Peipus+OR+Chudskoye+Ozero+OR+Pskovskoye+Ozero+OR+Sinyaya+OR+Utroya+OR+Velika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</si>
  <si>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NSTO_excel.xlsx</t>
  </si>
  <si>
    <t>https://advance-lexis-com.ezproxy.library.tufts.edu/search/?pdmfid=1516831&amp;crid=c671ca1f-902b-4c6b-9f06-47061c2f7099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estos+OR+Mylorem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</si>
  <si>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NYGA_excel.xlsx</t>
  </si>
  <si>
    <t>https://advance-lexis-com.ezproxy.library.tufts.edu/search/?pdmfid=1516831&amp;crid=6708f9e9-a5b8-494c-b6a4-ac411b30b4d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yang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</si>
  <si>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https://advance-lexis-com.ezproxy.library.tufts.edu/search/?pdmfid=1516831&amp;crid=f5131d31-96b5-43e7-aaff-bba4f4175935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ryn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</si>
  <si>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OBXX_excel.xlsx</t>
  </si>
  <si>
    <t>https://advance-lexis-com.ezproxy.library.tufts.edu/search/?pdmfid=1516831&amp;crid=970522fd-dbc3-4c91-aa1f-fb3de6c9f61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rtix+OR+Ulungur+Hu+OR+Ertis+OR+Marqukol+OR+Zaysan+Koli+OR+Agan+OR+Chulm+OR+Dem%27yanka+OR+Irtysh+OR+Iset%27+OR+Ishim+OR+Katun%27+OR+Kazum+OR+Ket%27+OR+Koli%27+yegan+OR+Lisitsa+OR+Ob+OR+Om%27+OR+Parabel+OR+Pelym+OR+Rim+OR+Sabun+OR+Tara+OR+Tavda+OR+Tobol+OR+Turtas+OR+Tym+OR+Uluyul+OR+Vagay+OR+Vakh+OR+Vasyug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ccee9752-cea4-445d-95ca-bb08c574434a</t>
  </si>
  <si>
    <t>https://advance-lexis-com.ezproxy.library.tufts.edu/search/?pdmfid=1516831&amp;crid=0f5016cb-8257-4a01-9fa7-cef8fdb55227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ed+Bon+Nai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</si>
  <si>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ODER_excel.xlsx</t>
  </si>
  <si>
    <t>https://advance-lexis-com.ezproxy.library.tufts.edu/search/?pdmfid=1516831&amp;crid=c18b9c41-18d1-4b65-bb21-24b8c0b3d9d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der+OR+Lobnicky+potok+OR+Moravice+OR+Barycz+OR+Bobr+OR+Grabia+OR+Kwisa+OR+Matd+Panew+OR+Neisse+OR+Nysaluzyckn+OR+Neris+OR+Notec+OR+Nysa+Klodzka+OR+Obra+OR+Odra+OR+Pliszka+OR+Prosna+OR+Warta+OR+Watna+OR+Widaw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</si>
  <si>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OGOO_excel.xlsx</t>
  </si>
  <si>
    <t>https://advance-lexis-com.ezproxy.library.tufts.edu/search/?pdmfid=1516831&amp;crid=4cfc784a-568d-46af-a863-6d0bd0cf2e68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gooue+OR+Abanga+OR+Aina+OR+Djadie+OR+Djouah+OR+Ikoy+OR+Ivindo+OR+Leconi+OR+Lolo+OR+Mvoung+OR+Ngounie+OR+Offoue+OR+Ouah+OR+Seb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</si>
  <si>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OKVG_excel.xlsx</t>
  </si>
  <si>
    <t>https://advance-lexis-com.ezproxy.library.tufts.edu/search/?pdmfid=1516831&amp;crid=da3846c3-e90d-4e7d-a955-cab4ffd3afd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kavango+OR+Cuatir+OR+Cuito+OR+Makgadikgadi+Pans+OR+Tandaue+OR+Boteti+OR+Lake+Ngami+OR+Lake+Xau+OR+Nata+OR+Okvango+Delta+OR+Omatako+OR+Otjozondj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</si>
  <si>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OLNG_excel.xlsx</t>
  </si>
  <si>
    <t>https://advance-lexis-com.ezproxy.library.tufts.edu/search/?pdmfid=1516831&amp;crid=7ac1ba5c-dce6-4b2e-a7c1-2c85fe3c655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langa+OR+Iijoki+OR+Oulujoki+OR+Pya+Oze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</si>
  <si>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ORAL_excel.xlsx</t>
  </si>
  <si>
    <t>ORAN_excel.xlsx</t>
  </si>
  <si>
    <t>https://advance-lexis-com.ezproxy.library.tufts.edu/search/?pdmfid=1516831&amp;crid=80a506b2-ef6e-438a-9a5d-9df4db8d4fab&amp;pdpsf=&amp;pdpost=&amp;pdstartin=urn%3Ahlct%3A16&amp;oc</t>
  </si>
  <si>
    <t>ORIN_excel.xlsx</t>
  </si>
  <si>
    <t>https://advance-lexis-com.ezproxy.library.tufts.edu/search/?pdmfid=1516831&amp;crid=7d921666-bf51-490b-b355-641da80fc03a&amp;pdpsf=&amp;pdpost=&amp;pdstartin=urn%3Ahlct%3A16&amp;oc</t>
  </si>
  <si>
    <t>OUEM_excel.xlsx</t>
  </si>
  <si>
    <t>https://advance-lexis-com.ezproxy.library.tufts.edu/search/?pdmfid=1516831&amp;crid=5e146866-a5ed-4169-b050-b5debefd54d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eme+OR+Okpa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</si>
  <si>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OULU_excel.xlsx</t>
  </si>
  <si>
    <t>https://advance-lexis-com.ezproxy.library.tufts.edu/search/?pdmfid=1516831&amp;crid=7811835e-93e6-4efb-8320-79951d58b025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l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</si>
  <si>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https://advance-lexis-com.ezproxy.library.tufts.edu/search/?pdmfid=1516831&amp;crid=90ce7c9c-5f6a-4d1b-a5dc-04ef0e58f817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iapoque+OR+Oyupock+OR+Camop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</si>
  <si>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PANG_excel.xlsx</t>
  </si>
  <si>
    <t>https://advance-lexis-com.ezproxy.library.tufts.edu/search/?pdmfid=1516831&amp;crid=8d67ba69-c28c-494a-afb7-85174eb85f57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ng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</si>
  <si>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PAZX_excel.xlsx</t>
  </si>
  <si>
    <t>https://advance-lexis-com.ezproxy.library.tufts.edu/search/?pdmfid=1516831&amp;crid=e3e10000-b258-4ca4-9eb8-9ea230086a77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Paz))+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bce0cb8f-c516-449a-bf54-2712280d57bf</t>
  </si>
  <si>
    <t>PCHA_excel.xlsx</t>
  </si>
  <si>
    <t>https://advance-lexis-com.ezproxy.library.tufts.edu/search/?pdmfid=1516831&amp;crid=68c8775c-50c4-4ec7-a0ee-8b5ce5e2f68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eschana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</si>
  <si>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PDNL_excel.xlsx</t>
  </si>
  <si>
    <t>https://advance-lexis-com.ezproxy.library.tufts.edu/search/?pdmfid=1516831&amp;crid=5d491640-9644-4ff8-a74d-fb50acf4f4e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edernal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</si>
  <si>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https://advance-lexis-com.ezproxy.library.tufts.edu/search/?pdmfid=1516831&amp;crid=9fbc6098-eacf-4d56-9f7e-e34813e51f4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kch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</si>
  <si>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https://advance-lexis-com.ezproxy.library.tufts.edu/search/?pdmfid=1516831&amp;crid=ab10ebc5-3eb0-4157-8ace-72ba9dbd54f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oldneva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</si>
  <si>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PLNA_excel.xlsx</t>
  </si>
  <si>
    <t>https://advance-lexis-com.ezproxy.library.tufts.edu/search/?pdmfid=1516831&amp;crid=bd132d17-fbad-4575-806c-7cfc8d45d64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le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</si>
  <si>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https://advance-lexis-com.ezproxy.library.tufts.edu/search/?pdmfid=1516831&amp;crid=196e664b-507b-4def-9318-642d42eab421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ndaru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</si>
  <si>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POXX_excel.xlsx</t>
  </si>
  <si>
    <t>https://advance-lexis-com.ezproxy.library.tufts.edu/search/?pdmfid=1516831&amp;crid=8a0fc84d-e214-45f9-846a-f220cfdd85e2&amp;pdpsf=&amp;pdpost=&amp;pdstartin=urn%3Ahlct%3A16&amp;oc</t>
  </si>
  <si>
    <t>https://advance-lexis-com.ezproxy.library.tufts.edu/search/?pdmfid=1516831&amp;crid=5e45ddf8-eda9-45db-86b4-e36d1ce25430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rohladnaj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</si>
  <si>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PRNU_excel.xlsx</t>
  </si>
  <si>
    <t>https://advance-lexis-com.ezproxy.library.tufts.edu/search/?pdmfid=1516831&amp;crid=4c3f093e-ea26-415a-8761-0a1b8ad3e0a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rn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</si>
  <si>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PSCU_excel.xlsx</t>
  </si>
  <si>
    <t>https://advance-lexis-com.ezproxy.library.tufts.edu/search/?pdmfid=1516831&amp;crid=2ea6f4e4-1110-4f21-be90-6ed4c62c2c74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scu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5a37053e-c4dc-4d33-b80c-af6f5e1a27f9</t>
  </si>
  <si>
    <t>PSOU_excel.xlsx</t>
  </si>
  <si>
    <t>https://advance-lexis-com.ezproxy.library.tufts.edu/search/?pdmfid=1516831&amp;crid=de0c8be6-9c0c-49ed-9242-a32d3dc59980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s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</si>
  <si>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PSVK_excel.xlsx</t>
  </si>
  <si>
    <t>https://advance-lexis-com.ezproxy.library.tufts.edu/search/?pdmfid=1516831&amp;crid=14933658-b64e-4ff2-b901-053624094b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svik+OR+Inari+OR+Ivalojoki+OR+Vaskojok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</si>
  <si>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PTIA_excel.xlsx</t>
  </si>
  <si>
    <t>https://advance-lexis-com.ezproxy.library.tufts.edu/search/?pdmfid=1516831&amp;crid=21c8e3c9-39c8-4cf7-a4b8-5380b2d45bd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t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</si>
  <si>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PUEL_excel.xlsx</t>
  </si>
  <si>
    <t>https://advance-lexis-com.ezproxy.library.tufts.edu/search/?pdmfid=1516831&amp;crid=86233613-b11d-404e-999c-30a6361c72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uel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</si>
  <si>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https://advance-lexis-com.ezproxy.library.tufts.edu/search/?pdmfid=1516831&amp;crid=5d7c7520-e588-4ffb-832f-41ab60e03f38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u+Lun+T%27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</si>
  <si>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PUNG_excel.xlsx</t>
  </si>
  <si>
    <t>https://advance-lexis-com.ezproxy.library.tufts.edu/search/?pdmfid=1516831&amp;crid=77dc1788-475f-43e3-95df-b9abc963ee33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ungw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</si>
  <si>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RAKU_excel.xlsx</t>
  </si>
  <si>
    <t>https://advance-lexis-com.ezproxy.library.tufts.edu/search/?pdmfid=1516831&amp;crid=1313aee7-80c2-41f3-be7a-7d8875e9cb54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Rann+of+Kutc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xxLg9kk&amp;earg=pdpsf&amp;prid=7933c74d-4fd2-41c1-8403-408d4d057d07</t>
  </si>
  <si>
    <t>REDX_excel.xlsx</t>
  </si>
  <si>
    <t>https://advance-lexis-com.ezproxy.library.tufts.edu/search/?pdmfid=1516831&amp;crid=22d4f4e9-971a-469e-9184-20cd2de3455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Red)+OR+Song+Hong+OR+Amo+OR+Babian+OR+Lishe+OR+Lixian+OR+Luzhi+OR+Nanmuli+He+OR+Nanpan+Jiang+OR+Nanpanjiang+OR+Tangqiao+He+OR+Xida+He+OR+Chay+OR+CAPS(Da)+OR+Gam+OR+Kim+OR+Lo+OR+Luc+Ngan+OR+CAPS(Ma)+OR+Meuk+OR+CAPS(Na)+OR+Nhi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f28babb1-77e4-4a27-a680-fce086decbf4</t>
  </si>
  <si>
    <t xml:space="preserve">NOTE: REDX Downloads complete and uploaded through 9/2/10. *Do not have results list from 8/3/10-9/2/10, but will download when NexisUni responding again.* Process sheet begins on 9/2/10 to avoid overlap of results downloaded. Went in increments of 10 days, hoping that is plenty of wiggle room for results when automation is run. </t>
  </si>
  <si>
    <t>Search button will not work</t>
  </si>
  <si>
    <t>RGSA_excel.xlsx</t>
  </si>
  <si>
    <t>https://advance-lexis-com.ezproxy.library.tufts.edu/search/?pdmfid=1516831&amp;crid=3c90d510-e0a3-43d1-9d18-170dc52f03f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Rio+Grande)+OR+CAPS(Grande)+OR+Hurtad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</si>
  <si>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 </t>
  </si>
  <si>
    <t>RHON_excel.xlsx</t>
  </si>
  <si>
    <t>https://advance-lexis-com.ezproxy.library.tufts.edu/search/?pdmfid=1516831&amp;crid=ebf6eeee-69af-4dde-90b1-959f8f3e3fb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Geneva+OR+CAPS(Rotten)+OR+Aigues+OR+Ain+OR+Arc+OR+Ardeche+OR+Arly+OR+Asse+OR+Balaing+OR+Buech+OR+Cenise+OR+Dorinet+OR+Doron+De+Beaufort+OR+Doubs+OR+Drac+OR+Drome+OR+Durance+OR+Eau+D%27Olle+OR+Fier+OR+Flumet+OR+Gees+OR+Geez+OR+Grosne+OR+Infernet+OR+Lac+d%27anneay+OR+Lac+de+Serre-ponson+OR+Lac+du+Bourget+OR+Lac+Leman+OR+Lone+OR+Poncellamont+OR+Rhone+OR+Riou+OR+Rious+Gras+OR+Romanche+OR+Saone+OR+Torrent+de+la+Sassiere+OR+Verdan+OR+Veyle+OR+Ise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t>
  </si>
  <si>
    <t>ROIA_excel.xlsx</t>
  </si>
  <si>
    <t>https://advance-lexis-com.ezproxy.library.tufts.edu/search/?pdmfid=1516831&amp;crid=5f9d4abe-7f58-4081-92c1-c059e7c6435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Ro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</si>
  <si>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RVMA_excel.xlsx</t>
  </si>
  <si>
    <t>https://advance-lexis-com.ezproxy.library.tufts.edu/search/?pdmfid=1516831&amp;crid=c0fd6aac-aac8-4b64-ad2a-25a7269f6745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Ruvuma+OR+Lago+Chinta+OR+Lake+Malawi+OR+Luchulingo+OR+Lugend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</si>
  <si>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SABI_excel.xlsx</t>
  </si>
  <si>
    <t>https://advance-lexis-com.ezproxy.library.tufts.edu/search/?pdmfid=1516831&amp;crid=c971f881-d257-4cb1-a728-1a6ccfcd6ed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bi+OR+Lake+Muririkwi+OR+Maroro+OR+Mukwadzi+OR+Munene+OR+Muneni+OR+Musongwa+OR+Mutirikwi+OR+Mutorashanga+OR+Mwarazi+OR+Ngezi+OR+Odzani+OR+Odzi+OR+Runde+OR+Squatodz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</si>
  <si>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SACL_excel.xlsx</t>
  </si>
  <si>
    <t>https://advance-lexis-com.ezproxy.library.tufts.edu/search/?pdmfid=1516831&amp;crid=e8b4ae7a-b916-43d6-acdf-10afe2255084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ta+Cla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t>
  </si>
  <si>
    <t>SAIG_excel.xlsx</t>
  </si>
  <si>
    <t>SALC_excel.xlsx</t>
  </si>
  <si>
    <t>https://advance-lexis-com.ezproxy.library.tufts.edu/search/?pdmfid=1516831&amp;crid=1b18db1e-56ce-4c01-b34a-9d377a26da07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la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</si>
  <si>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SALW_excel.xlsx</t>
  </si>
  <si>
    <t>https://advance-lexis-com.ezproxy.library.tufts.edu/search/?pdmfid=1516831&amp;crid=5d295067-1e30-4597-bae4-770919553d23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lween+OR+Kuke+OR+Hsim+OR+Inle+Lake+OR+CAPS(Ma)+OR+Nanding+OR+Pang+OR+Pawn+OR+Pilu+OR+Teng+OR+Moei+OR+N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2dd21e56-25d2-4b5e-8616-173714335388</t>
  </si>
  <si>
    <t>SAMR_excel.xlsx</t>
  </si>
  <si>
    <t>https://advance-lexis-com.ezproxy.library.tufts.edu/search/?pdmfid=1516831&amp;crid=d38a7a3d-73f3-43e4-ade4-893ca07506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mu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</si>
  <si>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SANA_excel.xlsx</t>
  </si>
  <si>
    <t>https://advance-lexis-com.ezproxy.library.tufts.edu/search/?pdmfid=1516831&amp;crid=2a507866-b737-4212-9b70-5bb06020a8d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ag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</si>
  <si>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SASS_excel.xslx</t>
  </si>
  <si>
    <t>https://advance-lexis-com.ezproxy.library.tufts.edu/search/?pdmfid=1516831&amp;crid=954a9d59-4b8a-45a9-8833-f1d4630751e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ssandra+OR+Lac+de+Buyo+OR+Lobo+OR+Nz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</si>
  <si>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https://advance-lexis-com.ezproxy.library.tufts.edu/search/?pdmfid=1516831&amp;crid=002f5a41-91e0-45ae-aba2-0cac5b7f1710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buk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</si>
  <si>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SCRO_excel.xlsx</t>
  </si>
  <si>
    <t>https://advance.lexis.com/search/?pdmfid=1516831&amp;crid=91b0ae20-203a-4d28-ad82-609da86e4394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Croix+OR+Chiputneticoo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qxLg9kk&amp;earg=pdpsf&amp;prid=8d142b6a-d4c7-4724-9f85-903874b8df96</t>
  </si>
  <si>
    <t>SEIN_excel.xlsx</t>
  </si>
  <si>
    <t>https://advance-lexis-com.ezproxy.library.tufts.edu/search/?pdmfid=1516831&amp;crid=dcc26c19-0f12-4f05-85a0-7bc23e7aad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ine+OR+Aube+OR+Eure+OR+Iton+OR+Marne+OR+Oise+OR+Vanne+OR+Yon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t>
  </si>
  <si>
    <t>SENG_excel.xlsx</t>
  </si>
  <si>
    <t>https://advance-lexis-com.ezproxy.library.tufts.edu/search/?pdmfid=1516831&amp;crid=5dc9bed7-72da-422c-888a-5cee75f5c2c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negal+OR+Bafing+OR+Bakoye+OR+Baoule+OR+Karakoro+OR+Kolimbine+OR+Ouadou+OR+Gorgol+Blanc)+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t>
  </si>
  <si>
    <t>SENO_excel.xlsx</t>
  </si>
  <si>
    <t>https://advance-lexis-com.ezproxy.library.tufts.edu/search/?pdmfid=1516831&amp;crid=404a4723-3730-46ec-826a-fb9b7369bc1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no+Union+OR+Serra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</si>
  <si>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SEPK_excel.xlsx</t>
  </si>
  <si>
    <t>https://advance-lexis-com.ezproxy.library.tufts.edu/search/?pdmfid=1516831&amp;crid=bc1be37c-4eeb-4d12-b7e4-ddd32c7f1834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p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</si>
  <si>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SHLD_excel.xlsx</t>
  </si>
  <si>
    <t>https://advance-lexis-com.ezproxy.library.tufts.edu/search/?pdmfid=1516831&amp;crid=4fe0ab58-11b1-44b3-8aa7-0c04d37344e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chelde+OR+Demer+OR+Dender+OR+Dijle+OR+Rupe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</si>
  <si>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SHUR_excel.xlsx</t>
  </si>
  <si>
    <t>https://advance-lexis-com.ezproxy.library.tufts.edu/search/?pdmfid=1516831&amp;crid=5a18ff56-b1ae-4eda-8e87-6c974a868c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hu+OR+Ch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t>
  </si>
  <si>
    <t>https://advance-lexis-com.ezproxy.library.tufts.edu/search/?pdmfid=1516831&amp;crid=a0384b78-8d97-4f11-8311-7ddc6ec70bb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ixao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</si>
  <si>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SJAF_excel.xlsx</t>
  </si>
  <si>
    <t>https://advance-lexis-com.ezproxy.library.tufts.edu/search/?pdmfid=1516831&amp;crid=897b581a-18bc-4d4b-8405-4dc7bcfef745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Joh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68923eba-0f91-40c2-859c-8f496864540d</t>
  </si>
  <si>
    <t>SJNA_excel.xlsx</t>
  </si>
  <si>
    <t>https://advance-lexis-com.ezproxy.library.tufts.edu/search/?pdmfid=1516831&amp;crid=e6db0760-1780-4137-84db-88742aa02093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John+OR+Canaan+OR+Monquart+OR+Saint+John+OR+Sisson+OR+Thames+OR+CAPS(Verde)+OR+Allasash+OR+CAPS(Eagle+Lake)+OR+CAPS(Fish)+OR+CAPS(Long+Lake)+OR+Munsungan+lake+OR+Musquacook+Lakes+OR+CAPS(Round+Pond)+OR+Sqnapan+Lake+OR+Umsaskis+Lak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</si>
  <si>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SJUA_excel.xlsx</t>
  </si>
  <si>
    <t>https://advance-lexis-com.ezproxy.library.tufts.edu/search/?pdmfid=1516831&amp;crid=26f7790d-6a0f-4638-a1cb-b2ffae2ce95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Juan+OR+Chiripo+OR+Lagoon+De+Arenal+OR+San+Carlo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t>
  </si>
  <si>
    <t>SKAG_excel.xlsx</t>
  </si>
  <si>
    <t>https://advance-lexis-com.ezproxy.library.tufts.edu/search/?pdmfid=1516831&amp;crid=e0b96ec5-1afe-4be1-945a-83e478610262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kagi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t>
  </si>
  <si>
    <t>SLAW_excel.xlsx</t>
  </si>
  <si>
    <t>https://advance-lexis-com.ezproxy.library.tufts.edu/search/?pdmfid=1516831&amp;crid=ddd14037-2d19-495f-b362-40019c137fd0&amp;pdpsf=&amp;pdpost=&amp;pdstartin=urn%3Ahlct%3A16</t>
  </si>
  <si>
    <t>SMAR_excel.xlsx</t>
  </si>
  <si>
    <t>https://advance-lexis-com.ezproxy.library.tufts.edu/search/?pdmfid=1516831&amp;crid=d87c3476-848d-4610-a404-432f87cd7339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Marti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t>
  </si>
  <si>
    <t>https://advance-lexis-com.ezproxy.library.tufts.edu/search/?pdmfid=1516831&amp;crid=1df812b1-2fc0-4141-be1e-f332a548496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mbakung)+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</si>
  <si>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SPAU_excel.xlsx</t>
  </si>
  <si>
    <t>https://advance-lexis-com.ezproxy.library.tufts.edu/search/?pdmfid=1516831&amp;crid=22c93266-4cec-4643-91de-bd612bd80982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Paul+OR+Di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t>
  </si>
  <si>
    <t>SRTA_excel.xlsx</t>
  </si>
  <si>
    <t>https://advance-lexis-com.ezproxy.library.tufts.edu/search/?pdmfid=1516831&amp;crid=3dfa2d64-978e-4470-803a-03b6cbbce7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rat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</si>
  <si>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SRTU_excel.xlsx</t>
  </si>
  <si>
    <t>https://advance-lexis-com.ezproxy.library.tufts.edu/search/?pdmfid=1516831&amp;crid=8290ff9c-6c6c-47b1-91cd-eb8461d61c68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rstu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</si>
  <si>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STKN_excel.xlsx</t>
  </si>
  <si>
    <t>https://advance-lexis-com.ezproxy.library.tufts.edu/search/?pdmfid=1516831&amp;crid=458c641e-defb-4bcd-9faf-2062c7044152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ikine+OR+Chutine+OR+Kinaskan+Lake+OR+Klappan+OR+Pitman+OR+Spatsizi+OR+Tahltan+OR+Tahltan+Lake+OR+Tanzilla+OR+Tumeka+Lake+OR+Tu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</si>
  <si>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STUM_excel.xlsx</t>
  </si>
  <si>
    <t>https://advance-lexis-com.ezproxy.library.tufts.edu/search/?pdmfid=1516831&amp;crid=ef57c057-4d23-4070-bfdb-795f4d2af88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ruma+OR+Ana+Dere+OR+Beglichka+OR+Bersinski+dol+OR+Devinski+OR+Kriva+OR+Matnitza+OR+Orolachka+OR+Stara+reka+OR+Strouma+OR+Limni+Kerkuni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</si>
  <si>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SUCT_excel.xlsx</t>
  </si>
  <si>
    <t>https://advance-lexis-com.ezproxy.library.tufts.edu/search/?pdmfid=1516831&amp;crid=bd66757a-788a-421d-915b-e8525342eff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uchia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</si>
  <si>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https://advance-lexis-com.ezproxy.library.tufts.edu/search/?pdmfid=1516831&amp;crid=410fa3f2-6a6b-4269-9dc3-8f9b3011476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ujfu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</si>
  <si>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SULK_excel.xlsx</t>
  </si>
  <si>
    <t>https://advance-lexis-com.ezproxy.library.tufts.edu/search/?pdmfid=1516831&amp;crid=d4cf508c-1d86-439b-967a-c88f030a5c2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ulak+OR+Avar+Kois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</si>
  <si>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https://advance-lexis-com.ezproxy.library.tufts.edu/search/?pdmfid=1516831&amp;crid=ff252b17-7c4d-409d-a7b0-43d27b2f70a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fna+OR+Meffrouc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</si>
  <si>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Y (31 August 2022)</t>
  </si>
  <si>
    <t>TAGU_excel.xlsx</t>
  </si>
  <si>
    <t>https://advance-lexis-com.ezproxy.library.tufts.edu/search/?pdmfid=1516831&amp;crid=d601b35d-9b92-4a25-bdff-14ee3095907b&amp;pdpsf=&amp;pdpost=&amp;pdstartin=urn%3Ahlct%3A16</t>
  </si>
  <si>
    <t>TAKU_excel.xlsx</t>
  </si>
  <si>
    <t>https://advance-lexis-com.ezproxy.library.tufts.edu/search/?pdmfid=1516831&amp;crid=7f33ffd8-5b4d-413c-9dc9-11ea05bdc542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ku+OR+Inklin+OR+Nahlin+OR+Nakina+OR+Shes+Lay+OR+Slok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99aab8d8-517d-4f04-9250-ddb14c2762bb</t>
  </si>
  <si>
    <t>TALA_excel.xlsx</t>
  </si>
  <si>
    <t>https://advance-lexis-com.ezproxy.library.tufts.edu/search/?pdmfid=1516831&amp;crid=d2d6bc0f-66db-43c7-81d6-bd45731dbc96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la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</si>
  <si>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Y (31 December 2022)</t>
  </si>
  <si>
    <t>31 December 2022 - 15 March 2024</t>
  </si>
  <si>
    <t>TAMI_excel.xlsx</t>
  </si>
  <si>
    <t>https://advance-lexis-com.ezproxy.library.tufts.edu/search/?pdmfid=1516831&amp;crid=72de217f-ab4e-4fb2-b185-c17ec0e0cb8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m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</si>
  <si>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TANA_excel.xlsx</t>
  </si>
  <si>
    <t>https://advance-lexis-com.ezproxy.library.tufts.edu/search/?pdmfid=1516831&amp;crid=ce420ca5-55f7-4750-b003-8a5e0da6d508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na+OR+Anarjohka+OR+Karasjok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</si>
  <si>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TANO_excel.xlsx</t>
  </si>
  <si>
    <t>https://advance-lexis-com.ezproxy.library.tufts.edu/search/?pdmfid=1516831&amp;crid=3b0e629e-1918-4458-95b0-51638c89ac5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</si>
  <si>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https://advance-lexis-com.ezproxy.library.tufts.edu/search/?pdmfid=1516831&amp;crid=28bfb2ad-5487-4175-9b03-f44b883ac589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emas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</si>
  <si>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TERK_excel.xlsx</t>
  </si>
  <si>
    <t>https://advance-lexis-com.ezproxy.library.tufts.edu/search/?pdmfid=1516831&amp;crid=ab4ef4a3-1752-4e10-b262-4ae0228c6705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ere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</si>
  <si>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TIGR_excel.xlsx</t>
  </si>
  <si>
    <t>https://advance-lexis-com.ezproxy.library.tufts.edu/search/?pdmfid=1516831&amp;crid=ca83ffe8-f7c5-4c55-a613-6a36a279abd6&amp;pdpsf=&amp;pdpost=&amp;pdstartin=urn%3Ahlct%3A16&amp;oc</t>
  </si>
  <si>
    <t>TIJU_excel.xlsx</t>
  </si>
  <si>
    <t>https://advance-lexis-com.ezproxy.library.tufts.edu/search/?pdmfid=1516831&amp;crid=22b4d840-6502-491f-b4f5-58020c960aa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ijua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t>
  </si>
  <si>
    <t>https://advance-lexis-com.ezproxy.library.tufts.edu/search/?pdmfid=1516831&amp;crid=3dbaa7b0-c2a3-4c92-a52c-be9a9bc280c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jeroaka+OR+Wanggo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</si>
  <si>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TORN_excel.xlsx</t>
  </si>
  <si>
    <t>https://advance-lexis-com.ezproxy.library.tufts.edu/search/?pdmfid=1516831&amp;crid=4012bb3e-9715-4970-be40-7e04c683aa6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orne+OR+Kilpisjarvi+OR+Miekojarvi+OR+Jerisjarvi+OR+Konkamaalven+OR+Lanioalven+OR+Lataseno+OR+Muonioalven+OR+Parkajoki+OR+Tornealven+OR+Tornetras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</si>
  <si>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TRIM_excel.xlsx</t>
  </si>
  <si>
    <t>https://advance-lexis-com.ezproxy.library.tufts.edu/search/?pdmfid=1516831&amp;crid=a17cf578-21ee-467f-8ea7-f08d52b46752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ri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</si>
  <si>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TULM_excel.xlsx</t>
  </si>
  <si>
    <t>https://advance-lexis-com.ezproxy.library.tufts.edu/search/?pdmfid=1516831&amp;crid=b75180d5-a5d7-4a4d-9ea6-866758a17f71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uloma+OR+Iova+OR+Kovda+OR+Lotta+OR+Paz+OR+Tuloma+OR+Verhnetulomskoe+OR+Voroni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8659fc5-873d-40a3-9e7d-6ce5941ad31a</t>
  </si>
  <si>
    <t>TUMB_excel.xlsx</t>
  </si>
  <si>
    <t>https://advance-lexis-com.ezproxy.library.tufts.edu/search/?pdmfid=1516831&amp;crid=4f716cdc-f611-496a-b8e1-6c0a03e9c3d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umb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</si>
  <si>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TUMN_excel.xlsx</t>
  </si>
  <si>
    <t>https://advance-lexis-com.ezproxy.library.tufts.edu/search/?pdmfid=1516831&amp;crid=534f86ba-d2cd-490e-986c-cbd8402eb835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um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</si>
  <si>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UBLZ_excel.xlsx</t>
  </si>
  <si>
    <t>https://advance-lexis-com.ezproxy.library.tufts.edu/search/?pdmfid=1516831&amp;crid=87e17d97-0c58-450f-91ab-b0749bbf67f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mbeluzi+OR+Black+Umbuluzi+OR+White+Umbuluz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</si>
  <si>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UMBA_excel.xlsx</t>
  </si>
  <si>
    <t>https://advance-lexis-com.ezproxy.library.tufts.edu/search/?pdmfid=1516831&amp;crid=de3ee4fe-d8b7-495b-b009-bd90898c3534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mb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</si>
  <si>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UNUK_excel.xlsx</t>
  </si>
  <si>
    <t>https://advance-lexis-com.ezproxy.library.tufts.edu/search/?pdmfid=1516831&amp;crid=6a2d85b6-4006-4bca-84c5-4140fc17baa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nu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</si>
  <si>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https://advance-lexis-com.ezproxy.library.tufts.edu/search/?pdmfid=1516831&amp;crid=356752be-1546-4f01-9d25-ddeb4ffc4898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tambo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</si>
  <si>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VAGR_excel.xlsx</t>
  </si>
  <si>
    <t>https://advance-lexis-com.ezproxy.library.tufts.edu/search/?pdmfid=1516831&amp;crid=15d6bb0c-18ad-44e4-8561-d2855ef69770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animo+OR+CAPS(Gre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</si>
  <si>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VCHT_excel.xlsx</t>
  </si>
  <si>
    <t>https://advance-lexis-com.ezproxy.library.tufts.edu/search/?pdmfid=1516831&amp;crid=9f8f0c25-3266-4461-a4c5-dd698f1ee2c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ch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</si>
  <si>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VDVA_excel.xlsx</t>
  </si>
  <si>
    <t>https://advance-lexis-com.ezproxy.library.tufts.edu/search/?pdmfid=1516831&amp;crid=93c7bd87-1407-4c4a-83fc-450b0fb3fae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aldiv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</si>
  <si>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VENT_excel.xlsx</t>
  </si>
  <si>
    <t>https://advance-lexis-com.ezproxy.library.tufts.edu/search/?pdmfid=1516831&amp;crid=da1e58a5-6bf6-44e9-962c-84041265a4f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nta+OR+Luksta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</si>
  <si>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https://advance-lexis-com.ezproxy.library.tufts.edu/search/?pdmfid=1516831&amp;crid=13e7ba9c-eea7-4fbd-a30c-04e2c615c188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fs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</si>
  <si>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VJSE_excel.xlsx</t>
  </si>
  <si>
    <t>https://advance.lexis.com/search/?pdmfid=1516831&amp;crid=a6535112-0953-46fc-a2b5-7286550cee7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ijose+OR+Brete+OR+Caush+OR+Cekreze+OR+Cycen+OR+Divjak+OR+Drin+OR+Dukaj+OR+Dushk+OR+Erzen+OR+Gadurove+OR+Germet+OR+Gjanice+OR+Gjokaj+OR+Gjynagal+OR+Holte+OR+Karbunar+OR+Kryekugi+OR+Malthike+OR+Manastir+OR+Manasufaj+OR+Morush+OR+Murriz+OR+Nashies+OR+P.+madh+OR+Paskugan+OR+Pellg+OR+Perit+OR+Petresh+OR+Peze+OR+Prroi+I+zi+OR+Prroji+arrave+OR+Prroji+buzit+OR+Prroji+zi+OR+Purrez+OR+Sauk+OR+Shegas+OR+Shkumbin+OR+Shupal+OR+Skrevanit+OR+Subloze+OR+Suka+OR+Tapize+OR+Teplas+OR+Terkuze+OR+Tirane+OR+Tomorrice+OR+Uji+mbare+OR+Vashaj+OR+Vinokash+OR+Vrap+OR+Zajce+OR+Zh.I+kuq+OR+Aoos+OR+Vjos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oc</t>
  </si>
  <si>
    <t>https://advance-lexis-com.ezproxy.library.tufts.edu/search/?pdmfid=1516831&amp;crid=4efefe6b-c561-4377-a040-5e252ea23690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la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</si>
  <si>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VOLG_excel.xlsx</t>
  </si>
  <si>
    <t>https://advance-lexis-com.ezproxy.library.tufts.edu/search/?pdmfid=1516831&amp;crid=d3214556-ec66-4938-ac5a-5d7dcb63d23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olga+OR+Sheks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t>
  </si>
  <si>
    <t>VOLT_excel.xlsx</t>
  </si>
  <si>
    <t>https://advance-lexis-com.ezproxy.library.tufts.edu/search/?pdmfid=1516831&amp;crid=e3da6b55-934f-47b5-8184-0cfc958985e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olta+OR+Massili+OR+Mouhoun+OR+CAPS(Black+Volta)+OR+Nakanbe+OR+CAPS(White+Volta)+OR+Nazinon+OR+CAPS(Red+Volta)+OR+Nkambe+OR+Volta+Blanche+OR+Daka+OR+Kulpawn+OR+Oti+OR+To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2b50beb2-e072-4297-b381-b67d966993ed</t>
  </si>
  <si>
    <t>VRDR_excel.xlsx</t>
  </si>
  <si>
    <t>https://advance-lexis-com.ezproxy.library.tufts.edu/search/?pdmfid=1516831&amp;crid=4ab7c844-7b41-4440-9b07-aeaacdedbcd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ardar+OR+Bregalnica+OR+Crna+OR+Kriva+OR+Pcinja+OR+Treska+OR+Crna+Reka+OR+Kocanska+OR+Lepenac+OR+Tres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</si>
  <si>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VSTL_excel.xlsx</t>
  </si>
  <si>
    <t>https://advance-lexis-com.ezproxy.library.tufts.edu/search/?pdmfid=1516831&amp;crid=d1590155-18f6-4451-a50d-4a879ffa9bb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istula+OR+Wista+OR+Lyasnaya+OR+Mukhavyets+OR+Ryta+OR+Biata+OR+Biatka+OR+Bug+OR+Bystrzyca+OR+Bzura+OR+Czarna+OR+Drweca+OR+Dtubnia+OR+Dunajec+OR+Itzanka+OR+Jezioro+Jeziorak+OR+Jeziorka+OR+Krzna+OR+CAPS(Leg)+OR+Liwiec+OR+Lubuczowka+OR+Mtawka+OR+Nida+OR+Nurzec+OR+Ostaroa+OR+Pilica+OR+Raba+OR+Radomka+OR+Rzadza+OR+CAPS(San)+OR+Skrwa+OR+Sona+OR+Swider+OR+Wieprz+OR+Wistok+OR+Wistoka+OR+Wkra+OR+Wolica+OR+Zielawa+OR+Ozera+Svityaz%27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oc</t>
  </si>
  <si>
    <t>https://advance-lexis-com.ezproxy.library.tufts.edu/search/?pdmfid=1516831&amp;crid=5cd19182-bb00-4cef-ad18-d325be3b15f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uoksa+OR+Koitajoki+OR+Pielisjok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</si>
  <si>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WHIT_excel.xlsx</t>
  </si>
  <si>
    <t>https://advance.lexis.com/search/?pdmfid=1516831&amp;crid=cc5c457a-ae25-4fb3-836c-86d495a40506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Whiting)+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27c491ae-e88a-432a-b97e-eae8036d8188</t>
  </si>
  <si>
    <t>WIED_excel.xlsx</t>
  </si>
  <si>
    <t>https://advance-lexis-com.ezproxy.library.tufts.edu/search/?pdmfid=1516831&amp;crid=f8478c6f-b900-4e47-a986-425c08f6d49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Wieda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</si>
  <si>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YALU_excel.xlsx</t>
  </si>
  <si>
    <t>https://advance-lexis-com.ezproxy.library.tufts.edu/search/?pdmfid=1516831&amp;crid=467049d4-586f-49c9-b92a-5e3b1fe91c6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Yal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</si>
  <si>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YAQU_excel.xlsx</t>
  </si>
  <si>
    <t>https://advance-lexis-com.ezproxy.library.tufts.edu/search/?pdmfid=1516831&amp;crid=bd61bc14-5110-472a-9268-b6b77375e5c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ros+OR+Laguna+de+los+Mexicanos+OR+Nacozari+OR+Papigochic+OR+Presu+de+la+Angostura+OR+Santa+Maria+OR+Tomochic+OR+Tutuaca+OR+Yaqu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t>
  </si>
  <si>
    <t>https://advance-lexis-com.ezproxy.library.tufts.edu/search/?pdmfid=1516831&amp;crid=f6b33d84-e42f-44a0-9ace-0aaa1875e5f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Yelch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</si>
  <si>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YNSY_excel.xlsx</t>
  </si>
  <si>
    <t>https://advance-lexis-com.ezproxy.library.tufts.edu/search/?pdmfid=1516831&amp;crid=ceb58b91-3ec9-489b-8135-ba651c40bc8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enisej+OR+Yenisey+OR+Angara+OR+Bakhta+OR+Bol+Kheta+OR+Braskove+Vdkhr+OR+Chadobets+OR+Chuna+OR+Egiyn+OR+Hanuy+OR+Ider+OR+Ilim+OR+Irkut+OR+Kan+OR+Kas+OR+Kochechan+OR+Nidym+OR+Nizhnyaya+Tunguska+OR+Oka+OR+Ornon+OR+Oz.+Keta+OR+Oz.+Khantayskoye+OR+Oz.+Pyasino+OR+Oz.+Agaa+OR+Ozero+Baykal+OR+Ozero+Lama+OR+Podkamennaya+Tunguska+OR+Selenge+OR+Sym+OR+Taymura+OR+Tembenchi+OR+Turu+OR+Tutonchana+OR+Uchami+OR+Uda+OR+Vel%27mo+OR+Vivi+OR+Yeloguy+OR+Yenise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oc</t>
  </si>
  <si>
    <t>YSER_excel.xlsx</t>
  </si>
  <si>
    <t>https://advance-lexis-com.ezproxy.library.tufts.edu/search/?pdmfid=1516831&amp;crid=6a6eac6a-64d3-4b44-b9aa-27bd05b1dd8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Yse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</si>
  <si>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ZAMB_excel.xlsx</t>
  </si>
  <si>
    <t>https://advance-lexis-com.ezproxy.library.tufts.edu/search/?pdmfid=1516831&amp;crid=4bb3a5f2-1a6c-4e08-9908-0ad11bd100ee&amp;pdpsf=&amp;pdpost=&amp;pdstartin=urn%3Ahlct%3A16&amp;oc</t>
  </si>
  <si>
    <t>ZARM_excel.xlsx</t>
  </si>
  <si>
    <t>https://advance-lexis-com.ezproxy.library.tufts.edu/search/?pdmfid=1516831&amp;crid=89e63879-dd65-4906-a2ab-444f9fdc9602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Zarumil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t>
  </si>
  <si>
    <t xml:space="preserve">0 Results: https://advance-lexis-com.ezproxy.library.tufts.edu/search/?pdmfid=1516831&amp;crid=af80113f-99cf-4ada-8223-8709ef047d20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llahei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9d3b9986-b7af-4043-9803-d5b256c85f95  </t>
  </si>
  <si>
    <t>EMSX_excel.xlsx</t>
  </si>
  <si>
    <t>https://advance-lexis-com.ezproxy.library.tufts.edu/search/?pdmfid=1516831&amp;crid=b410f756-f4b2-4e04-8fc5-9b4963a70546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ms+OR+Eems+OR+Westerwoldse+Aa+OR+Dollart+OR+Dollard+OR+Werse+OR+Munstersche+Aa+OR+Hunze+OR+Drentsche+A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t>
  </si>
  <si>
    <t>LOAX_excel.xlsx</t>
  </si>
  <si>
    <t>https://advance.lexis.com/search/?pdmfid=1516831&amp;crid=6f6aff15-79ce-4402-9375-39eef31ab538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a+OR+Silala+OR+Siloli+OR+Inacaliri+OR+Cajon+OR+San+Pedro+OR+Salado+OR+Toconc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6e023950-120a-422c-8dc8-29fc1cb15df8</t>
  </si>
  <si>
    <t>GRND_excel</t>
  </si>
  <si>
    <t>https://advance-lexis-com.ezproxy.library.tufts.edu/search/?pdmfid=1516831&amp;crid=b08cd61a-5aff-41bc-be32-bf72221ce634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roundwater*+OR+aquifer*+OR+%22ground+water*%22+)+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2e92158f-e9cc-488b-8cf2-fe4574f08300</t>
  </si>
  <si>
    <t>Downloaded?</t>
  </si>
  <si>
    <t>Excel status sheet created</t>
  </si>
  <si>
    <t>Excel status in csv</t>
  </si>
  <si>
    <t>PDF status sheet created</t>
  </si>
  <si>
    <t>PDF status in csv</t>
  </si>
  <si>
    <t>in Git</t>
  </si>
  <si>
    <t>Basin Class (URL/search)</t>
  </si>
  <si>
    <t>Excel results downloaded</t>
  </si>
  <si>
    <t>PDF results downloaded</t>
  </si>
  <si>
    <t>URL</t>
  </si>
  <si>
    <t>none</t>
  </si>
  <si>
    <t>Search</t>
  </si>
  <si>
    <t>URL?? Search?</t>
  </si>
  <si>
    <t>Search Terms for Transboundary Freshwater Diplomacy Database - International Event Database Update - 2022 - Duplicate Tributaries Removed</t>
  </si>
  <si>
    <t>30 June 2008 and 15 July 2022</t>
  </si>
  <si>
    <t>Turn on Remove Duplicates</t>
  </si>
  <si>
    <t>Narrow by &gt; Search within results (AND)</t>
  </si>
  <si>
    <t xml:space="preserve">The above rows are the terms used for every search. The following rows are the 314 individual searches that need to be run. We found in manual searching the search within results yielded better results than having the basin specific searches within the primary search function. In addition, we found that the Group Duplicate function was also helpful in reducing the number of results. </t>
  </si>
  <si>
    <t>Has search been completed and all files downloaded?  (Y/N/Issues)</t>
  </si>
  <si>
    <t>Has preliminary review been completed?  (Y/N/Issues)</t>
  </si>
  <si>
    <t>Colorado OR CAPS(Alamo Lake) OR Alamosa OR Bartlett OR CAPS(Big) Sundy OR Bill Williams OR CAPS(Bitter Creek) OR CAPS(Blue Mesa Reservior) OR Bouse CAPS(Wash) OR Bug Chino CAPS(Wash) OR CAPS(Bullfrog) OR CAPS(Burro) Creek OR Canon Largo OR Chaco Chinle Wash OR CAPS(Cherry Creek) OR Colorado  OR CAPS(Comb Wash) OR CAPS(Conejos) OR CAPS(Cottonwood) Wash OR Crtstal OR CAPS(Dad Clark Gulch) OR CAPS(Dirty Devil) OR Dolores OR Duchesne OR Schwacheim Creek OR CAPS(East Bitter Creek) OR CAPS(East Verde) OR Escalante OR Florida OR Fremont OR Gannison OR Gila OR CAPS(Green) OR Halls Creek OR Hassayampu OR Imperial Reservior OR Kanab Creek OR Lake Havase OR Lake Mead OR Lake Mohave OR Lake Powell OR CAPS(Los Pinos) OR Mancos OR CAPS(Moon Lake) OR CAPS(Muddy Creek) OR Navajo Reservior OR CAPS(New) OR CAPS(Nine Mile Creek) OR CAPS(Oak Creek) OR Paria OR Piceance Creek OR Pinon Canyon Arroyo OR CAPS(Price) OR Purgatoire OR Roan Creek OR Roaring Fork OR Rock Creek OR Sacramento Wash OR San Juan OR San Miguel OR San Rafael OR Santa Maria OR Senac Creek OR Show Low Creek OR Stinking Lake OR Strawberry OR Strawberry Reservior OR CAPS(Taylor) OR Trout Creek OR Uinta OR Uncompahagre OR CAPS(Verde) OR West Toll Gate Creek OR CAPS(White) OR CAPS(Willow Creek) OR CAPS(Yellow Creek)</t>
  </si>
  <si>
    <t>Replace Water Terms with these for First level search includ the same cooperation and exclusionary terms</t>
  </si>
  <si>
    <t>groundwater* OR aquifer* OR "ground water*"</t>
  </si>
  <si>
    <t>international OR transboundary OR "trans boundary"</t>
  </si>
  <si>
    <t>Basin_Specific_Terms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</si>
</sst>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scheme val="minor"/>
    </font>
    <font>
      <b/>
      <sz val="12"/>
      <color theme="1"/>
      <name val="Calibri"/>
    </font>
    <font>
      <sz val="11"/>
      <name val="Calibri"/>
    </font>
    <font>
      <sz val="11"/>
      <color theme="1"/>
      <name val="Calibri"/>
    </font>
    <font>
      <b/>
      <sz val="11"/>
      <color theme="1"/>
      <name val="Calibri"/>
    </font>
    <font>
      <i/>
      <sz val="11"/>
      <color theme="1"/>
      <name val="Calibri"/>
    </font>
    <font>
      <sz val="11"/>
      <color rgb="FF000000"/>
      <name val="Calibri"/>
    </font>
    <font>
      <i/>
      <sz val="11"/>
      <color rgb="FF000000"/>
      <name val="Calibri"/>
    </font>
    <font>
      <u/>
      <sz val="11"/>
      <color theme="10"/>
      <name val="Calibri"/>
      <scheme val="minor"/>
    </font>
    <font>
      <b/>
      <sz val="11"/>
      <color rgb="FF000000"/>
      <name val="Calibri"/>
    </font>
    <font>
      <sz val="11"/>
      <color rgb="FF000000"/>
      <name val="Calibri"/>
      <family val="2"/>
    </font>
    <font>
      <sz val="11"/>
      <color rgb="FF000000"/>
      <name val="Calibri"/>
      <family val="2"/>
      <charset val="1"/>
    </font>
    <font>
      <sz val="11"/>
      <color theme="1"/>
      <name val="Calibri"/>
      <family val="2"/>
    </font>
  </fonts>
  <fills count="6">
    <fill>
      <patternFill patternType="none"/>
    </fill>
    <fill>
      <patternFill patternType="gray125"/>
    </fill>
    <fill>
      <patternFill patternType="solid">
        <fgColor rgb="FFE7E6E6"/>
        <bgColor rgb="FFE7E6E6"/>
      </patternFill>
    </fill>
    <fill>
      <patternFill patternType="solid">
        <fgColor rgb="FFFFFF00"/>
        <bgColor rgb="FFFFFF00"/>
      </patternFill>
    </fill>
    <fill>
      <patternFill patternType="solid">
        <fgColor theme="7" tint="0.59999389629810485"/>
        <bgColor indexed="64"/>
      </patternFill>
    </fill>
    <fill>
      <patternFill patternType="solid">
        <fgColor theme="7" tint="0.39997558519241921"/>
        <bgColor rgb="FFE7E6E6"/>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double">
        <color rgb="FF000000"/>
      </top>
      <bottom/>
      <diagonal/>
    </border>
    <border>
      <left style="thin">
        <color rgb="FF000000"/>
      </left>
      <right style="thin">
        <color rgb="FF000000"/>
      </right>
      <top style="double">
        <color rgb="FF000000"/>
      </top>
      <bottom/>
      <diagonal/>
    </border>
    <border>
      <left/>
      <right style="thin">
        <color rgb="FF000000"/>
      </right>
      <top style="double">
        <color rgb="FF000000"/>
      </top>
      <bottom/>
      <diagonal/>
    </border>
    <border>
      <left/>
      <right/>
      <top/>
      <bottom style="thin">
        <color rgb="FF000000"/>
      </bottom>
      <diagonal/>
    </border>
    <border>
      <left/>
      <right style="thin">
        <color rgb="FF000000"/>
      </right>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8" fillId="0" borderId="0" applyNumberFormat="0" applyFill="0" applyBorder="0" applyAlignment="0" applyProtection="0"/>
  </cellStyleXfs>
  <cellXfs count="78">
    <xf numFmtId="0" fontId="0" fillId="0" borderId="0" xfId="0"/>
    <xf numFmtId="0" fontId="3" fillId="0" borderId="0" xfId="0" applyFont="1" applyAlignment="1">
      <alignment vertical="center"/>
    </xf>
    <xf numFmtId="0" fontId="4" fillId="2" borderId="4" xfId="0" applyFont="1" applyFill="1" applyBorder="1" applyAlignment="1">
      <alignment vertical="center"/>
    </xf>
    <xf numFmtId="0" fontId="4" fillId="0" borderId="4" xfId="0" applyFont="1" applyBorder="1" applyAlignment="1">
      <alignment vertical="center"/>
    </xf>
    <xf numFmtId="0" fontId="4" fillId="0" borderId="4" xfId="0" applyFont="1" applyBorder="1" applyAlignment="1">
      <alignment vertical="center" wrapText="1"/>
    </xf>
    <xf numFmtId="0" fontId="5" fillId="2" borderId="6" xfId="0" applyFont="1" applyFill="1" applyBorder="1" applyAlignment="1">
      <alignment vertical="center" wrapText="1"/>
    </xf>
    <xf numFmtId="0" fontId="3" fillId="0" borderId="7" xfId="0" applyFont="1" applyBorder="1" applyAlignment="1">
      <alignment vertical="center" wrapText="1"/>
    </xf>
    <xf numFmtId="0" fontId="5" fillId="2" borderId="7" xfId="0" applyFont="1" applyFill="1" applyBorder="1" applyAlignment="1">
      <alignment vertical="center" wrapText="1"/>
    </xf>
    <xf numFmtId="0" fontId="3" fillId="0" borderId="8" xfId="0" applyFont="1" applyBorder="1" applyAlignment="1">
      <alignment vertical="center" wrapText="1"/>
    </xf>
    <xf numFmtId="0" fontId="5" fillId="2" borderId="10" xfId="0" applyFont="1" applyFill="1" applyBorder="1" applyAlignment="1">
      <alignment vertical="center" wrapText="1"/>
    </xf>
    <xf numFmtId="0" fontId="3" fillId="0" borderId="10" xfId="0" applyFont="1" applyBorder="1" applyAlignment="1">
      <alignment vertical="center" wrapText="1"/>
    </xf>
    <xf numFmtId="0" fontId="1" fillId="0" borderId="7" xfId="0" applyFont="1" applyBorder="1" applyAlignment="1">
      <alignment vertical="center"/>
    </xf>
    <xf numFmtId="0" fontId="5" fillId="2" borderId="4" xfId="0" applyFont="1" applyFill="1" applyBorder="1" applyAlignment="1">
      <alignment vertical="center" wrapText="1"/>
    </xf>
    <xf numFmtId="0" fontId="3" fillId="2" borderId="4" xfId="0" applyFont="1" applyFill="1" applyBorder="1" applyAlignment="1">
      <alignment vertical="center" wrapText="1"/>
    </xf>
    <xf numFmtId="0" fontId="4" fillId="2" borderId="4" xfId="0" applyFont="1" applyFill="1" applyBorder="1" applyAlignment="1">
      <alignment vertical="center" wrapText="1"/>
    </xf>
    <xf numFmtId="0" fontId="3" fillId="0" borderId="12" xfId="0" applyFont="1" applyBorder="1" applyAlignment="1">
      <alignment vertical="center" wrapText="1"/>
    </xf>
    <xf numFmtId="0" fontId="6" fillId="0" borderId="12" xfId="0" applyFont="1" applyBorder="1" applyAlignment="1">
      <alignment vertical="center" wrapText="1"/>
    </xf>
    <xf numFmtId="0" fontId="3" fillId="2" borderId="7" xfId="0" applyFont="1" applyFill="1" applyBorder="1" applyAlignment="1">
      <alignment vertical="center" wrapText="1"/>
    </xf>
    <xf numFmtId="0" fontId="3" fillId="0" borderId="0" xfId="0" applyFont="1" applyAlignment="1">
      <alignment vertical="center" wrapText="1"/>
    </xf>
    <xf numFmtId="3" fontId="3" fillId="0" borderId="12" xfId="0" applyNumberFormat="1" applyFont="1" applyBorder="1" applyAlignment="1">
      <alignment vertical="center" wrapText="1"/>
    </xf>
    <xf numFmtId="0" fontId="3" fillId="2" borderId="10" xfId="0" applyFont="1" applyFill="1" applyBorder="1" applyAlignment="1">
      <alignment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6" fillId="0" borderId="15" xfId="0" applyFont="1" applyBorder="1" applyAlignment="1">
      <alignment horizontal="center" vertical="center" wrapText="1"/>
    </xf>
    <xf numFmtId="0" fontId="3" fillId="3" borderId="7" xfId="0" applyFont="1" applyFill="1" applyBorder="1" applyAlignment="1">
      <alignment vertical="center" wrapText="1"/>
    </xf>
    <xf numFmtId="0" fontId="3" fillId="0" borderId="12" xfId="0" applyFont="1" applyBorder="1" applyAlignment="1">
      <alignment horizontal="center" vertical="center" wrapText="1"/>
    </xf>
    <xf numFmtId="0" fontId="3" fillId="0" borderId="17" xfId="0" applyFont="1" applyBorder="1" applyAlignment="1">
      <alignment horizontal="center" vertical="center" wrapText="1"/>
    </xf>
    <xf numFmtId="0" fontId="6" fillId="0" borderId="17" xfId="0" applyFont="1" applyBorder="1" applyAlignment="1">
      <alignment horizontal="center" vertical="center" wrapText="1"/>
    </xf>
    <xf numFmtId="0" fontId="3" fillId="2" borderId="18" xfId="0" applyFont="1" applyFill="1" applyBorder="1" applyAlignment="1">
      <alignment vertical="center"/>
    </xf>
    <xf numFmtId="0" fontId="5" fillId="2" borderId="8" xfId="0" applyFont="1" applyFill="1" applyBorder="1" applyAlignment="1">
      <alignment vertical="center" wrapText="1"/>
    </xf>
    <xf numFmtId="0" fontId="3" fillId="2" borderId="8" xfId="0" applyFont="1" applyFill="1" applyBorder="1" applyAlignment="1">
      <alignment vertical="center" wrapText="1"/>
    </xf>
    <xf numFmtId="0" fontId="4" fillId="2" borderId="12" xfId="0" applyFont="1" applyFill="1" applyBorder="1" applyAlignment="1">
      <alignment horizontal="center" vertical="center" wrapText="1"/>
    </xf>
    <xf numFmtId="0" fontId="3" fillId="2" borderId="12" xfId="0" applyFont="1" applyFill="1" applyBorder="1" applyAlignment="1">
      <alignment vertical="center" wrapText="1"/>
    </xf>
    <xf numFmtId="0" fontId="3" fillId="0" borderId="11" xfId="0" applyFont="1" applyBorder="1" applyAlignment="1">
      <alignment vertical="center" wrapText="1"/>
    </xf>
    <xf numFmtId="0" fontId="3" fillId="3" borderId="15" xfId="0" applyFont="1" applyFill="1" applyBorder="1" applyAlignment="1">
      <alignment horizontal="center" vertical="center" wrapText="1"/>
    </xf>
    <xf numFmtId="0" fontId="3" fillId="3" borderId="12" xfId="0" applyFont="1" applyFill="1" applyBorder="1" applyAlignment="1">
      <alignment vertical="center" wrapText="1"/>
    </xf>
    <xf numFmtId="0" fontId="3" fillId="3" borderId="17" xfId="0" applyFont="1" applyFill="1" applyBorder="1" applyAlignment="1">
      <alignment horizontal="center" vertical="center" wrapText="1"/>
    </xf>
    <xf numFmtId="0" fontId="0" fillId="0" borderId="0" xfId="0" applyAlignment="1">
      <alignment wrapText="1"/>
    </xf>
    <xf numFmtId="0" fontId="7" fillId="0" borderId="6" xfId="0" applyFont="1" applyBorder="1" applyAlignment="1">
      <alignment vertical="center" wrapText="1"/>
    </xf>
    <xf numFmtId="0" fontId="6" fillId="0" borderId="7" xfId="0" applyFont="1" applyBorder="1" applyAlignment="1">
      <alignment vertical="center" wrapText="1"/>
    </xf>
    <xf numFmtId="0" fontId="3" fillId="3" borderId="15" xfId="0" applyFont="1" applyFill="1" applyBorder="1" applyAlignment="1">
      <alignment vertical="center" wrapText="1"/>
    </xf>
    <xf numFmtId="0" fontId="3" fillId="3" borderId="13" xfId="0" applyFont="1" applyFill="1" applyBorder="1" applyAlignment="1">
      <alignment vertical="center" wrapText="1"/>
    </xf>
    <xf numFmtId="0" fontId="0" fillId="0" borderId="18" xfId="0" applyBorder="1"/>
    <xf numFmtId="0" fontId="9" fillId="2" borderId="4" xfId="0" applyFont="1" applyFill="1" applyBorder="1" applyAlignment="1">
      <alignment wrapText="1"/>
    </xf>
    <xf numFmtId="0" fontId="4" fillId="5" borderId="4" xfId="0" applyFont="1" applyFill="1" applyBorder="1" applyAlignment="1">
      <alignment vertical="center" wrapText="1"/>
    </xf>
    <xf numFmtId="0" fontId="4" fillId="2" borderId="19" xfId="0" applyFont="1" applyFill="1" applyBorder="1" applyAlignment="1">
      <alignment vertical="center"/>
    </xf>
    <xf numFmtId="0" fontId="4" fillId="2" borderId="19" xfId="0" applyFont="1" applyFill="1" applyBorder="1" applyAlignment="1">
      <alignment vertical="center" wrapText="1"/>
    </xf>
    <xf numFmtId="0" fontId="4" fillId="4" borderId="19" xfId="0" applyFont="1" applyFill="1" applyBorder="1" applyAlignment="1">
      <alignment vertical="center"/>
    </xf>
    <xf numFmtId="0" fontId="4" fillId="4" borderId="19" xfId="0" applyFont="1" applyFill="1" applyBorder="1" applyAlignment="1">
      <alignment vertical="center" wrapText="1"/>
    </xf>
    <xf numFmtId="0" fontId="3" fillId="0" borderId="19" xfId="0" applyFont="1" applyBorder="1" applyAlignment="1">
      <alignment vertical="center" wrapText="1"/>
    </xf>
    <xf numFmtId="0" fontId="6" fillId="0" borderId="19" xfId="0" applyFont="1" applyBorder="1" applyAlignment="1">
      <alignment vertical="center" wrapText="1"/>
    </xf>
    <xf numFmtId="0" fontId="6" fillId="0" borderId="19" xfId="0" applyFont="1" applyBorder="1" applyAlignment="1">
      <alignment vertical="center"/>
    </xf>
    <xf numFmtId="0" fontId="0" fillId="0" borderId="19" xfId="0" applyBorder="1"/>
    <xf numFmtId="0" fontId="8" fillId="0" borderId="19" xfId="1" applyBorder="1" applyAlignment="1">
      <alignment vertical="center"/>
    </xf>
    <xf numFmtId="0" fontId="8" fillId="0" borderId="19" xfId="1" applyFill="1" applyBorder="1" applyAlignment="1"/>
    <xf numFmtId="0" fontId="8" fillId="0" borderId="19" xfId="1" applyBorder="1"/>
    <xf numFmtId="0" fontId="10" fillId="0" borderId="19" xfId="0" applyFont="1" applyBorder="1" applyAlignment="1">
      <alignment wrapText="1"/>
    </xf>
    <xf numFmtId="0" fontId="6" fillId="0" borderId="19" xfId="0" applyFont="1" applyBorder="1"/>
    <xf numFmtId="0" fontId="10" fillId="0" borderId="20" xfId="0" applyFont="1" applyBorder="1" applyAlignment="1">
      <alignment wrapText="1"/>
    </xf>
    <xf numFmtId="0" fontId="10" fillId="0" borderId="20" xfId="0" applyFont="1" applyBorder="1"/>
    <xf numFmtId="0" fontId="6" fillId="0" borderId="20" xfId="0" applyFont="1" applyBorder="1"/>
    <xf numFmtId="0" fontId="10" fillId="0" borderId="19" xfId="0" applyFont="1" applyBorder="1"/>
    <xf numFmtId="0" fontId="4" fillId="2" borderId="11" xfId="0" applyFont="1" applyFill="1" applyBorder="1" applyAlignment="1">
      <alignment horizontal="center" vertical="center" wrapText="1"/>
    </xf>
    <xf numFmtId="0" fontId="3" fillId="0" borderId="18" xfId="0" applyFont="1" applyBorder="1" applyAlignment="1">
      <alignment vertical="center" wrapText="1"/>
    </xf>
    <xf numFmtId="0" fontId="11" fillId="0" borderId="0" xfId="0" applyFont="1"/>
    <xf numFmtId="0" fontId="1" fillId="0" borderId="1" xfId="0" applyFont="1" applyBorder="1" applyAlignment="1">
      <alignment horizontal="center" vertical="center"/>
    </xf>
    <xf numFmtId="0" fontId="2" fillId="0" borderId="2" xfId="0" applyFont="1" applyBorder="1"/>
    <xf numFmtId="0" fontId="2" fillId="0" borderId="3" xfId="0" applyFont="1" applyBorder="1" applyAlignment="1">
      <alignment wrapText="1"/>
    </xf>
    <xf numFmtId="0" fontId="4" fillId="2" borderId="5" xfId="0" applyFont="1" applyFill="1" applyBorder="1" applyAlignment="1">
      <alignment horizontal="center" vertical="center" wrapText="1"/>
    </xf>
    <xf numFmtId="0" fontId="2" fillId="0" borderId="11" xfId="0" applyFont="1" applyBorder="1"/>
    <xf numFmtId="0" fontId="2" fillId="0" borderId="9" xfId="0" applyFont="1" applyBorder="1"/>
    <xf numFmtId="0" fontId="2" fillId="0" borderId="3" xfId="0" applyFont="1" applyBorder="1"/>
    <xf numFmtId="0" fontId="4" fillId="2" borderId="11"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2" fillId="0" borderId="16" xfId="0" applyFont="1" applyBorder="1"/>
    <xf numFmtId="0" fontId="3" fillId="2" borderId="8" xfId="0" applyFont="1" applyFill="1" applyBorder="1" applyAlignment="1">
      <alignment horizontal="center" vertical="center" wrapText="1"/>
    </xf>
    <xf numFmtId="0" fontId="12" fillId="2" borderId="4" xfId="0" applyFon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1" Type="http://schemas.openxmlformats.org/officeDocument/2006/relationships/calcChain" Target="calcChain.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104775</xdr:colOff>
      <xdr:row>0</xdr:row>
      <xdr:rowOff>876300</xdr:rowOff>
    </xdr:from>
    <xdr:to>
      <xdr:col>18</xdr:col>
      <xdr:colOff>438150</xdr:colOff>
      <xdr:row>220</xdr:row>
      <xdr:rowOff>171450</xdr:rowOff>
    </xdr:to>
    <xdr:sp macro="" textlink="">
      <xdr:nvSpPr>
        <xdr:cNvPr id="8" name="TextBox 1">
          <a:extLst>
            <a:ext uri="{FF2B5EF4-FFF2-40B4-BE49-F238E27FC236}">
              <a16:creationId xmlns:a16="http://schemas.microsoft.com/office/drawing/2014/main" id="{8CF97BFF-EC6B-D3D3-C298-FDEAD6031784}"/>
            </a:ext>
          </a:extLst>
        </xdr:cNvPr>
        <xdr:cNvSpPr txBox="1"/>
      </xdr:nvSpPr>
      <xdr:spPr>
        <a:xfrm>
          <a:off x="16640175" y="876300"/>
          <a:ext cx="5819775" cy="29660850"/>
        </a:xfrm>
        <a:prstGeom prst="rect">
          <a:avLst/>
        </a:prstGeom>
        <a:solidFill>
          <a:srgbClr val="92D050"/>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1" i="0" u="none" strike="noStrike">
              <a:solidFill>
                <a:srgbClr val="000000"/>
              </a:solidFill>
              <a:latin typeface="Calibri" panose="020F0502020204030204" pitchFamily="34" charset="0"/>
              <a:cs typeface="Calibri" panose="020F0502020204030204" pitchFamily="34" charset="0"/>
            </a:rPr>
            <a:t>Instructions</a:t>
          </a:r>
          <a:endParaRPr lang="en-US" sz="1100" b="0" i="0" u="none" strike="noStrike">
            <a:solidFill>
              <a:srgbClr val="000000"/>
            </a:solidFill>
            <a:latin typeface="Calibri" panose="020F0502020204030204" pitchFamily="34" charset="0"/>
            <a:cs typeface="Calibri" panose="020F0502020204030204" pitchFamily="34" charset="0"/>
          </a:endParaRPr>
        </a:p>
        <a:p>
          <a:pPr marL="0" indent="0" algn="l"/>
          <a:r>
            <a:rPr lang="en-US" sz="1100" b="0" i="0" u="none" strike="noStrike">
              <a:solidFill>
                <a:srgbClr val="000000"/>
              </a:solidFill>
              <a:latin typeface="Calibri" panose="020F0502020204030204" pitchFamily="34" charset="0"/>
              <a:cs typeface="Calibri" panose="020F0502020204030204" pitchFamily="34" charset="0"/>
            </a:rPr>
            <a:t>1. Pick a basin with your name and change Column E to "In Progress"</a:t>
          </a:r>
        </a:p>
        <a:p>
          <a:pPr marL="0" indent="0" algn="l"/>
          <a:r>
            <a:rPr lang="en-US" sz="1100" b="0" i="0" u="none" strike="noStrike">
              <a:solidFill>
                <a:srgbClr val="000000"/>
              </a:solidFill>
              <a:latin typeface="Calibri" panose="020F0502020204030204" pitchFamily="34" charset="0"/>
              <a:cs typeface="Calibri" panose="020F0502020204030204" pitchFamily="34" charset="0"/>
            </a:rPr>
            <a:t>2. Make a new excel file using the header row (make sure this is identical) from the template "template_BCODE_excel" in https://tufts.app.box.com/folder/234637765588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3. Run the search in Nexus Uni as you normally would, you can leave out the date ranges.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4. Paste the full URL into Column H</a:t>
          </a:r>
        </a:p>
        <a:p>
          <a:pPr marL="0" indent="0" algn="l"/>
          <a:r>
            <a:rPr lang="en-US" sz="1100" b="0" i="0" u="none" strike="noStrike">
              <a:solidFill>
                <a:srgbClr val="000000"/>
              </a:solidFill>
              <a:latin typeface="Calibri" panose="020F0502020204030204" pitchFamily="34" charset="0"/>
              <a:cs typeface="Calibri" panose="020F0502020204030204" pitchFamily="34" charset="0"/>
            </a:rPr>
            <a:t>5. use the histogram for number of results in the Timeline on Nexis Uni to get an idea of when there are a large number of results.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6. test out different date ranges throughout the histogram until you can get a few that are consistently under 1000 results. (aim for 700-800 range)</a:t>
          </a:r>
        </a:p>
        <a:p>
          <a:pPr marL="0" indent="0" algn="l"/>
          <a:r>
            <a:rPr lang="en-US" sz="1100" b="0" i="0" u="none" strike="noStrike">
              <a:solidFill>
                <a:srgbClr val="000000"/>
              </a:solidFill>
              <a:latin typeface="Calibri" panose="020F0502020204030204" pitchFamily="34" charset="0"/>
              <a:cs typeface="Calibri" panose="020F0502020204030204" pitchFamily="34" charset="0"/>
            </a:rPr>
            <a:t>7. Populate the start and end date columns of the excel file with the time intervals you have identified over the full search period June 30, 2008 to July 1, 2023. Ensure that the cells in these two columns are formatted mm/dd/yyyy. If there is a standard date range (for example, every 6 months) that applies for any portion of your basin search, you can copy date ranges from "[daterage]_loop" sheets in the Automation&gt;templates folder in Box.</a:t>
          </a:r>
        </a:p>
        <a:p>
          <a:pPr marL="0" indent="0" algn="l"/>
          <a:r>
            <a:rPr lang="en-US" sz="1100" b="0" i="0" u="none" strike="noStrike">
              <a:solidFill>
                <a:srgbClr val="000000"/>
              </a:solidFill>
              <a:latin typeface="Calibri" panose="020F0502020204030204" pitchFamily="34" charset="0"/>
              <a:cs typeface="Calibri" panose="020F0502020204030204" pitchFamily="34" charset="0"/>
            </a:rPr>
            <a:t>8. Double check your date ranges so that there are no missing date or overlapping dates.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9. Fill out the index column starting at 0 and counting 1 for each row.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10. fillout the basin columns with the BCODE and basin_name copied from this sheet for each row.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11. When completed save the excel file in the Automation &gt;Status Sheets folder with the file name format BCODE_excel.xlsx. </a:t>
          </a:r>
        </a:p>
        <a:p>
          <a:pPr marL="0" indent="0" algn="l"/>
          <a:r>
            <a:rPr lang="en-US" sz="1100" b="0" i="0" u="none" strike="noStrike">
              <a:solidFill>
                <a:srgbClr val="000000"/>
              </a:solidFill>
              <a:latin typeface="Calibri" panose="020F0502020204030204" pitchFamily="34" charset="0"/>
              <a:cs typeface="Calibri" panose="020F0502020204030204" pitchFamily="34" charset="0"/>
            </a:rPr>
            <a:t>12. Paste the file name in Column F filename folder of this sheet</a:t>
          </a:r>
        </a:p>
        <a:p>
          <a:pPr marL="0" indent="0" algn="l"/>
          <a:r>
            <a:rPr lang="en-US" sz="1100" b="0" i="0" u="none" strike="noStrike">
              <a:solidFill>
                <a:srgbClr val="000000"/>
              </a:solidFill>
              <a:latin typeface="Calibri" panose="020F0502020204030204" pitchFamily="34" charset="0"/>
              <a:cs typeface="Calibri" panose="020F0502020204030204" pitchFamily="34" charset="0"/>
            </a:rPr>
            <a:t>13. Change Column E to Y when Complete. </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17" Type="http://schemas.openxmlformats.org/officeDocument/2006/relationships/hyperlink" Target="https://advance-lexis-com.ezproxy.library.tufts.edu/search/?pdmfid=1516831&amp;crid=f5c75d3c-cf7a-4550-ba19-5bd871ca8a5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idaso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1" Type="http://schemas.openxmlformats.org/officeDocument/2006/relationships/hyperlink" Target="https://advance-lexis-com.ezproxy.library.tufts.edu/search/?pdmfid=1516831&amp;crid=94cdf160-0dd4-4f1e-aabd-e15243f7be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Ubsa+OR+Nu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07b1738-8278-4e7c-aa0b-94b3e27fedbe" TargetMode="External"/><Relationship Id="rId63" Type="http://schemas.openxmlformats.org/officeDocument/2006/relationships/hyperlink" Target="https://advance-lexis-com.ezproxy.library.tufts.edu/search/?pdmfid=1516831&amp;crid=c0ef51f4-ad4e-45e5-a38a-ef42e16a685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ura+OR+Araks+OR+Azat+OR+Lori+OR+Mingacevir+Reservior+OR+Aragvi+OR+Iori+OR+Khrami+OR+Ahar+OR+Ajy+Chay+OR+Aras+OR+Qare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159" Type="http://schemas.openxmlformats.org/officeDocument/2006/relationships/hyperlink" Target="https://advance-lexis-com.ezproxy.library.tufts.edu/search/?pdmfid=1516831&amp;crid=11a1bce5-4737-4648-943e-932e04c76dc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Fl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70" Type="http://schemas.openxmlformats.org/officeDocument/2006/relationships/hyperlink" Target="https://advance-lexis-com.ezproxy.library.tufts.edu/search/?pdmfid=1516831&amp;crid=e03c870d-a6c5-4f81-a016-238627a1a3a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ari+OR+Harirud)+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26" Type="http://schemas.openxmlformats.org/officeDocument/2006/relationships/hyperlink" Target="https://advance-lexis-com.ezproxy.library.tufts.edu/search/?pdmfid=1516831&amp;crid=0f5016cb-8257-4a01-9fa7-cef8fdb5522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ed+Bon+Nai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68" Type="http://schemas.openxmlformats.org/officeDocument/2006/relationships/hyperlink" Target="https://advance-lexis-com.ezproxy.library.tufts.edu/search/?pdmfid=1516831&amp;crid=3b0e629e-1918-4458-95b0-51638c89ac5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32" Type="http://schemas.openxmlformats.org/officeDocument/2006/relationships/hyperlink" Target="https://advance-lexis-com.ezproxy.library.tufts.edu/search/?pdmfid=1516831&amp;crid=df89cc60-a4b6-40f5-af62-80e7103cb05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Neg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7cf45134-0e9a-4554-acf9-d27cd7fb6e08" TargetMode="External"/><Relationship Id="rId74" Type="http://schemas.openxmlformats.org/officeDocument/2006/relationships/hyperlink" Target="https://advance-lexis-com.ezproxy.library.tufts.edu/search/?pdmfid=1516831&amp;crid=1fb50ed1-dba8-464e-bb1a-8cdd8f122d0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Natron+OR+Ewaso+Ng%27i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128" Type="http://schemas.openxmlformats.org/officeDocument/2006/relationships/hyperlink" Target="https://advance-lexis-com.ezproxy.library.tufts.edu/search/?pdmfid=1516831&amp;crid=4a02d1eb-ab6e-4993-a8db-953c415e9d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ndelar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5" Type="http://schemas.openxmlformats.org/officeDocument/2006/relationships/hyperlink" Target="https://advance-lexis-com.ezproxy.library.tufts.edu/search/?pdmfid=1516831&amp;crid=86bbb8d1-9f00-481b-bfc5-ec60245e807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mur+OR+Emur+OR+Huma+OR+Muling+OR+Naoli+OR+Songhua+OR+Amagun+OR+Argun+OR+Bikin+OR+Bureya+OR+CAPS(Dep)+OR+Gazimur+OR+Gilyuy+OR+Ingoda+OR+Kur+OR+Onon+OR+Oz.+Chukchagirskoye+OR+Oz.+Khanka+OR+Oz.+Udyl%27+OR+Shilka+OR+CAPS(Tok)+OR+Urmi+OR+Ussuri+OR+Ze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TargetMode="External"/><Relationship Id="rId181" Type="http://schemas.openxmlformats.org/officeDocument/2006/relationships/hyperlink" Target="https://advance-lexis-com.ezproxy.library.tufts.edu/search/?pdmfid=1516831&amp;crid=97f1a821-62ab-4937-a7bc-8c529bd6ecd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ogiln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37" Type="http://schemas.openxmlformats.org/officeDocument/2006/relationships/hyperlink" Target="https://advance-lexis-com.ezproxy.library.tufts.edu/search/?pdmfid=1516831&amp;crid=9fbc6098-eacf-4d56-9f7e-e34813e51f4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kch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79" Type="http://schemas.openxmlformats.org/officeDocument/2006/relationships/hyperlink" Target="https://advance-lexis-com.ezproxy.library.tufts.edu/search/?pdmfid=1516831&amp;crid=356752be-1546-4f01-9d25-ddeb4ffc489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tambo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43" Type="http://schemas.openxmlformats.org/officeDocument/2006/relationships/hyperlink" Target="https://advance-lexis-com.ezproxy.library.tufts.edu/search/?pdmfid=1516831&amp;crid=e3e10000-b258-4ca4-9eb8-9ea230086a7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Paz))+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bce0cb8f-c516-449a-bf54-2712280d57bf" TargetMode="External"/><Relationship Id="rId139" Type="http://schemas.openxmlformats.org/officeDocument/2006/relationships/hyperlink" Target="https://advance-lexis-com.ezproxy.library.tufts.edu/search/?pdmfid=1516831&amp;crid=7d4b6b02-803f-4af1-8e54-f4ba1b4b5f3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Coppe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90" Type="http://schemas.openxmlformats.org/officeDocument/2006/relationships/hyperlink" Target="https://advance-lexis-com.ezproxy.library.tufts.edu/search/?pdmfid=1516831&amp;crid=6a6eac6a-64d3-4b44-b9aa-27bd05b1dd8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Yse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85" Type="http://schemas.openxmlformats.org/officeDocument/2006/relationships/hyperlink" Target="https://advance-lexis-com.ezproxy.library.tufts.edu/search/?pdmfid=1516831&amp;crid=bd61bc14-5110-472a-9268-b6b77375e5c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ros+OR+Laguna+de+los+Mexicanos+OR+Nacozari+OR+Papigochic+OR+Presu+de+la+Angostura+OR+Santa+Maria+OR+Tomochic+OR+Tutuaca+OR+Yaqu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 TargetMode="External"/><Relationship Id="rId150" Type="http://schemas.openxmlformats.org/officeDocument/2006/relationships/hyperlink" Target="https://advance-lexis-com.ezproxy.library.tufts.edu/search/?pdmfid=1516831&amp;crid=049a1b6f-f85a-48a6-838d-75b31e3b0e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ragonj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92" Type="http://schemas.openxmlformats.org/officeDocument/2006/relationships/hyperlink" Target="https://advance-lexis-com.ezproxy.library.tufts.edu/search/?pdmfid=1516831&amp;crid=4fe458ec-c16e-4b12-956e-ac3394d37c6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Titicaca+Poopo+OR+Lagoon+Arap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06" Type="http://schemas.openxmlformats.org/officeDocument/2006/relationships/hyperlink" Target="https://advance-lexis-com.ezproxy.library.tufts.edu/search/?pdmfid=1516831&amp;crid=93ff2cc8-680e-4372-b153-63da2a90854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llarinos+OR+Boeza+OR+Casoyo+OR+Eiros+OR+Lona+OR+Mino+OR+Valseco+OR+Arnoia+OR+Sil+OR+Lor+OR+Bibei+OR+Cua+OR+Laguna+de+Ante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48" Type="http://schemas.openxmlformats.org/officeDocument/2006/relationships/hyperlink" Target="https://advance-lexis-com.ezproxy.library.tufts.edu/search/?pdmfid=1516831&amp;crid=5f9d4abe-7f58-4081-92c1-c059e7c6435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Ro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69" Type="http://schemas.openxmlformats.org/officeDocument/2006/relationships/hyperlink" Target="https://advance-lexis-com.ezproxy.library.tufts.edu/search/?pdmfid=1516831&amp;crid=28bfb2ad-5487-4175-9b03-f44b883ac58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emas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12" Type="http://schemas.openxmlformats.org/officeDocument/2006/relationships/hyperlink" Target="https://advance-lexis-com.ezproxy.library.tufts.edu/search/?pdmfid=1516831&amp;crid=e1ce2255-8075-4896-a055-4ed8bf4d25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vally+OR+Dub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06%2F30%2F2008to07%2F01%2F2023%7Cdatebetween&amp;pdfromadvancedsearchpage=true&amp;ecomp=qxLg9kk&amp;earg=pdpsf&amp;prid=ca2ac95e-6e8c-4fe3-b6fd-ed3bd8f901fa" TargetMode="External"/><Relationship Id="rId33" Type="http://schemas.openxmlformats.org/officeDocument/2006/relationships/hyperlink" Target="https://advance-lexis-com.ezproxy.library.tufts.edu/search/?pdmfid=1516831&amp;crid=64caeae9-9cd2-483f-ac69-fb551ffb9d4a&amp;pdpsf=&amp;pdpost=&amp;pdstartin=urn%3Ahlct%3A16&amp;oc" TargetMode="External"/><Relationship Id="rId108" Type="http://schemas.openxmlformats.org/officeDocument/2006/relationships/hyperlink" Target="https://advance-lexis-com.ezproxy.library.tufts.edu/search/?pdmfid=1516831&amp;crid=125e1e8b-67f5-41c6-9bc4-892d7f24c17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si+OR+Orontes+OR+Amik+Gol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29" Type="http://schemas.openxmlformats.org/officeDocument/2006/relationships/hyperlink" Target="https://advance-lexis-com.ezproxy.library.tufts.edu/search/?pdmfid=1516831&amp;crid=edb82f26-b73e-449e-bf22-01365ce02f1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anguino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80" Type="http://schemas.openxmlformats.org/officeDocument/2006/relationships/hyperlink" Target="https://advance-lexis-com.ezproxy.library.tufts.edu/search/?pdmfid=1516831&amp;crid=9f8f0c25-3266-4461-a4c5-dd698f1ee2c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ch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54" Type="http://schemas.openxmlformats.org/officeDocument/2006/relationships/hyperlink" Target="https://advance.lexis.com/search/?pdmfid=1516831&amp;crid=6f6aff15-79ce-4402-9375-39eef31ab53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a+OR+Silala+OR+Siloli+OR+Inacaliri+OR+Cajon+OR+San+Pedro+OR+Salado+OR+Toconc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6e023950-120a-422c-8dc8-29fc1cb15df8" TargetMode="External"/><Relationship Id="rId75" Type="http://schemas.openxmlformats.org/officeDocument/2006/relationships/hyperlink" Target="https://advance-lexis-com.ezproxy.library.tufts.edu/search/?pdmfid=1516831&amp;crid=ad300935-37ab-488a-aef9-d5848182867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Chad+OR+Bamingui+OR+Bangoran+OR+Bongoul+OR+Goro+OR+Gribingui+OR+Kamear+OR+Manovo+OR+Ouandja+OR+Ouham+OR+Oulou+OR+Pende+OR+Vakaga+OR+Vassako+OR+Yata+OR+Dillia+OR+Tegouma+OR+Kano+OR+Katagum+OR+Komadugu+Gana+OR+Ngadda+OR+Yedseram+OR+Wadi+Tiwal+OR+Ba+illi+OR+Bahr+Aoak+OR+Bahr+Azourn+OR+Bahr+el+Ghazal+OR+Soro+OR+Bahr+Ergig+OR+Bahr+Keita+OR+Doka+OR+Bahr+Salamat+OR+Chari+OR+Logo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96" Type="http://schemas.openxmlformats.org/officeDocument/2006/relationships/hyperlink" Target="https://advance-lexis-com.ezproxy.library.tufts.edu/search/?pdmfid=1516831&amp;crid=da216ebb-9541-4eee-883e-7ba82ec01ff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ndus+OR+Shiqnan+OR+Aarzan+Garzan+OR+Beas+OR+Bodhegaon+OR+Gilgit+OR+Jogwada+OR+Koyna+OR+Kundlika+OR+Saraswati+OR+Sindphana+OR+Chenab+OR+Haro+OR+Jamergal+OR+Jhelum+OR+Kabul+OR+Khal+Kass+OR+Kundar+OR+Manch+har+Lake+OR+Nain+Sikh+OR+Ravi+OR+Saddle+Dam+OR+Sutlej+OR+Swat+OR+Tain+Pura+OR+Zhob)+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3%2F05%2F2024%7Cdatebetween&amp;pdfromadvancedsearchpage=true&amp;ecomp=qxLg9kk&amp;earg=pdpsf&amp;prid=3003265a-f001-443f-99b5-135de3011c66" TargetMode="External"/><Relationship Id="rId140" Type="http://schemas.openxmlformats.org/officeDocument/2006/relationships/hyperlink" Target="https://advance-lexis-com.ezproxy.library.tufts.edu/search/?pdmfid=1516831&amp;crid=e5ee8e27-a878-45e0-ab85-a1124dfb283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rantijn+OR+Couranty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61" Type="http://schemas.openxmlformats.org/officeDocument/2006/relationships/hyperlink" Target="https://advance-lexis-com.ezproxy.library.tufts.edu/search/?pdmfid=1516831&amp;crid=1a78a04c-87d9-49c4-ba38-a67583a6695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oyl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82" Type="http://schemas.openxmlformats.org/officeDocument/2006/relationships/hyperlink" Target="https://advance-lexis-com.ezproxy.library.tufts.edu/search/?pdmfid=1516831&amp;crid=9e0cc511-b48c-4ba9-bbbe-8357424f047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omoe+OR+Bayakokore+OR+Iringou+OR+Leraba-Occidentale+O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17" Type="http://schemas.openxmlformats.org/officeDocument/2006/relationships/hyperlink" Target="https://advance-lexis-com.ezproxy.library.tufts.edu/search/?pdmfid=1516831&amp;crid=a8bf82cb-32e2-4e9f-8645-acf4d83bfa4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taj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6" Type="http://schemas.openxmlformats.org/officeDocument/2006/relationships/hyperlink" Target="https://advance-lexis-com.ezproxy.library.tufts.edu/search/?pdmfid=1516831&amp;crid=632539ee-495b-4fcb-bf75-744db69763dd&amp;pdpsf=&amp;pdpost=&amp;pdstartin=urn%3Ahlct%3A16&amp;oc" TargetMode="External"/><Relationship Id="rId238" Type="http://schemas.openxmlformats.org/officeDocument/2006/relationships/hyperlink" Target="https://advance-lexis-com.ezproxy.library.tufts.edu/search/?pdmfid=1516831&amp;crid=ab10ebc5-3eb0-4157-8ace-72ba9dbd54f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oldneva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59" Type="http://schemas.openxmlformats.org/officeDocument/2006/relationships/hyperlink" Target="https://advance-lexis-com.ezproxy.library.tufts.edu/search/?pdmfid=1516831&amp;crid=8290ff9c-6c6c-47b1-91cd-eb8461d61c6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rstu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3" Type="http://schemas.openxmlformats.org/officeDocument/2006/relationships/hyperlink" Target="https://advance-lexis-com.ezproxy.library.tufts.edu/search/?pdmfid=1516831&amp;crid=26f7790d-6a0f-4638-a1cb-b2ffae2ce95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Juan+OR+Chiripo+OR+Lagoon+De+Arenal+OR+San+Carlo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TargetMode="External"/><Relationship Id="rId119" Type="http://schemas.openxmlformats.org/officeDocument/2006/relationships/hyperlink" Target="https://advance-lexis-com.ezproxy.library.tufts.edu/search/?pdmfid=1516831&amp;crid=e888d314-77f7-4e3f-a2f1-865073da9bb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ilu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70" Type="http://schemas.openxmlformats.org/officeDocument/2006/relationships/hyperlink" Target="https://advance-lexis-com.ezproxy.library.tufts.edu/search/?pdmfid=1516831&amp;crid=ab4ef4a3-1752-4e10-b262-4ae0228c670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ere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91" Type="http://schemas.openxmlformats.org/officeDocument/2006/relationships/hyperlink" Target="https://advance-lexis-com.ezproxy.library.tufts.edu/search/?pdmfid=1516831&amp;crid=89e63879-dd65-4906-a2ab-444f9fdc960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Zarumil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44" Type="http://schemas.openxmlformats.org/officeDocument/2006/relationships/hyperlink" Target="https://advance-lexis-com.ezproxy.library.tufts.edu/search/?pdmfid=1516831&amp;crid=ca83ffe8-f7c5-4c55-a613-6a36a279abd6&amp;pdpsf=&amp;pdpost=&amp;pdstartin=urn%3Ahlct%3A16&amp;oc" TargetMode="External"/><Relationship Id="rId65" Type="http://schemas.openxmlformats.org/officeDocument/2006/relationships/hyperlink" Target="https://advance-lexis-com.ezproxy.library.tufts.edu/search/?pdmfid=1516831&amp;crid=b410f756-f4b2-4e04-8fc5-9b4963a7054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ms+OR+Eems+OR+Westerwoldse+Aa+OR+Dollart+OR+Dollard+OR+Werse+OR+Munstersche+Aa+OR+Hunze+OR+Drentsche+A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86" Type="http://schemas.openxmlformats.org/officeDocument/2006/relationships/hyperlink" Target="https://advance-lexis-com.ezproxy.library.tufts.edu/search/?pdmfid=1516831&amp;crid=d3214556-ec66-4938-ac5a-5d7dcb63d23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olga+OR+Sheks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 TargetMode="External"/><Relationship Id="rId130" Type="http://schemas.openxmlformats.org/officeDocument/2006/relationships/hyperlink" Target="https://advance-lexis-com.ezproxy.library.tufts.edu/search/?pdmfid=1516831&amp;crid=d06c77df-579e-42f5-9551-f4566ff7879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rmen+Silva+OR+Chic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51" Type="http://schemas.openxmlformats.org/officeDocument/2006/relationships/hyperlink" Target="https://advance-lexis-com.ezproxy.library.tufts.edu/search/?pdmfid=1516831&amp;crid=20910843-ccef-468a-b76f-a51ef5bbdf6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ra+OR+Qued+Zemoul+OR+Qued+Dad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72" Type="http://schemas.openxmlformats.org/officeDocument/2006/relationships/hyperlink" Target="https://advance-lexis-com.ezproxy.library.tufts.edu/search/?pdmfid=1516831&amp;crid=5cf5cd88-6fb8-4e79-bc0e-97986b7d5b6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si+OR+Bei+Jiang+OR+Dachun+He+OR+Lian+Jiang+OR+Liangjiang+OR+Maotiao+He+OR+Miaotiaohe+OR+Sancha+He+OR+Sanchahe+OR+Weijang+OR+Wengjiang)+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93" Type="http://schemas.openxmlformats.org/officeDocument/2006/relationships/hyperlink" Target="https://advance-lexis-com.ezproxy.library.tufts.edu/search/?pdmfid=1516831&amp;crid=fe60c784-0c37-44fa-8d5f-4699285769b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Turkana+OR+Ch%27eq+bahr+OR+Gojeb+OR+Omo+OR+Ferguson%27s+Gulf+OR+Lotagipi+Swamp+OR+Turkwe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07" Type="http://schemas.openxmlformats.org/officeDocument/2006/relationships/hyperlink" Target="https://advance-lexis-com.ezproxy.library.tufts.edu/search/?pdmfid=1516831&amp;crid=bb90f2b1-7b92-4d8a-a3f2-1c0aafd36b1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i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28" Type="http://schemas.openxmlformats.org/officeDocument/2006/relationships/hyperlink" Target="https://advance-lexis-com.ezproxy.library.tufts.edu/search/?pdmfid=1516831&amp;crid=4cfc784a-568d-46af-a863-6d0bd0cf2e6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gooue+OR+Abanga+OR+Aina+OR+Djadie+OR+Djouah+OR+Ikoy+OR+Ivindo+OR+Leconi+OR+Lolo+OR+Mvoung+OR+Ngounie+OR+Offoue+OR+Ouah+OR+Seb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49" Type="http://schemas.openxmlformats.org/officeDocument/2006/relationships/hyperlink" Target="https://advance-lexis-com.ezproxy.library.tufts.edu/search/?pdmfid=1516831&amp;crid=c0fd6aac-aac8-4b64-ad2a-25a7269f674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Ruvuma+OR+Lago+Chinta+OR+Lake+Malawi+OR+Luchulingo+OR+Lugend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13" Type="http://schemas.openxmlformats.org/officeDocument/2006/relationships/hyperlink" Target="https://advance-lexis-com.ezproxy.library.tufts.edu/search/?pdmfid=1516831&amp;crid=8a0fc84d-e214-45f9-846a-f220cfdd85e2&amp;pdpsf=&amp;pdpost=&amp;pdstartin=urn%3Ahlct%3A16&amp;oc" TargetMode="External"/><Relationship Id="rId109" Type="http://schemas.openxmlformats.org/officeDocument/2006/relationships/hyperlink" Target="https://advance-lexis-com.ezproxy.library.tufts.edu/search/?pdmfid=1516831&amp;crid=1c630e8f-6daf-4129-b0df-b86e28979d7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rtibonite+OR+Depelig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60" Type="http://schemas.openxmlformats.org/officeDocument/2006/relationships/hyperlink" Target="https://advance-lexis-com.ezproxy.library.tufts.edu/search/?pdmfid=1516831&amp;crid=458c641e-defb-4bcd-9faf-2062c704415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ikine+OR+Chutine+OR+Kinaskan+Lake+OR+Klappan+OR+Pitman+OR+Spatsizi+OR+Tahltan+OR+Tahltan+Lake+OR+Tanzilla+OR+Tumeka+Lake+OR+Tu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81" Type="http://schemas.openxmlformats.org/officeDocument/2006/relationships/hyperlink" Target="https://advance-lexis-com.ezproxy.library.tufts.edu/search/?pdmfid=1516831&amp;crid=93c7bd87-1407-4c4a-83fc-450b0fb3fae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aldiv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34" Type="http://schemas.openxmlformats.org/officeDocument/2006/relationships/hyperlink" Target="https://advance-lexis-com.ezproxy.library.tufts.edu/search/?pdmfid=1516831&amp;crid=f3a133da-90ab-4c4d-991c-bdd5938a5be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s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48c41af8-1dae-41be-b3c2-70390c3997b8" TargetMode="External"/><Relationship Id="rId55" Type="http://schemas.openxmlformats.org/officeDocument/2006/relationships/hyperlink" Target="https://advance-lexis-com.ezproxy.library.tufts.edu/search/?pdmfid=1516831&amp;crid=4bb3a5f2-1a6c-4e08-9908-0ad11bd100ee&amp;pdpsf=&amp;pdpost=&amp;pdstartin=urn%3Ahlct%3A16&amp;oc" TargetMode="External"/><Relationship Id="rId76" Type="http://schemas.openxmlformats.org/officeDocument/2006/relationships/hyperlink" Target="https://advance-lexis-com.ezproxy.library.tufts.edu/search/?pdmfid=1516831&amp;crid=28bfac80-0b01-4800-b385-8bdcaf7b108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acob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97" Type="http://schemas.openxmlformats.org/officeDocument/2006/relationships/hyperlink" Target="https://advance-lexis-com.ezproxy.library.tufts.edu/search/?pdmfid=1516831&amp;crid=9b0c1dda-3cfb-4c4a-b414-c9ad583e9797&amp;pdpsf=&amp;pdpost=&amp;pdstartin=urn%3Ahlct%3A16&amp;oc" TargetMode="External"/><Relationship Id="rId120" Type="http://schemas.openxmlformats.org/officeDocument/2006/relationships/hyperlink" Target="https://advance-lexis-com.ezproxy.library.tufts.edu/search/?pdmfid=1516831&amp;crid=f7b4e445-5373-4006-aeb7-2496d0d5212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lize+OR+Mop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41" Type="http://schemas.openxmlformats.org/officeDocument/2006/relationships/hyperlink" Target="https://advance-lexis-com.ezproxy.library.tufts.edu/search/?pdmfid=1516831&amp;crid=5666a3e8-e8dc-45d4-b2f4-6a1a2c0e5d2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ru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7" Type="http://schemas.openxmlformats.org/officeDocument/2006/relationships/hyperlink" Target="https://advance-lexis-com.ezproxy.library.tufts.edu/search/?pdmfid=1516831&amp;crid=2765f148-e3e7-4702-8620-72fa608c3e6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ker+OR+Cochra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TargetMode="External"/><Relationship Id="rId162" Type="http://schemas.openxmlformats.org/officeDocument/2006/relationships/hyperlink" Target="https://advance-lexis-com.ezproxy.library.tufts.edu/search/?pdmfid=1516831&amp;crid=61964243-5f3a-42ea-b8b6-cce4e699f8a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eba+OR+Corubal+OR+Kayang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83" Type="http://schemas.openxmlformats.org/officeDocument/2006/relationships/hyperlink" Target="https://advance-lexis-com.ezproxy.library.tufts.edu/search/?pdmfid=1516831&amp;crid=0b343cbc-e631-4485-b7c3-fdf9e448438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arnaphuli+OR+Karnaful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18" Type="http://schemas.openxmlformats.org/officeDocument/2006/relationships/hyperlink" Target="https://advance-lexis-com.ezproxy.library.tufts.edu/search/?pdmfid=1516831&amp;crid=953b7027-f6ac-47e8-93a5-026f332a63b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af)+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39" Type="http://schemas.openxmlformats.org/officeDocument/2006/relationships/hyperlink" Target="https://advance-lexis-com.ezproxy.library.tufts.edu/search/?pdmfid=1516831&amp;crid=bd132d17-fbad-4575-806c-7cfc8d45d6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le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50" Type="http://schemas.openxmlformats.org/officeDocument/2006/relationships/hyperlink" Target="https://advance-lexis-com.ezproxy.library.tufts.edu/search/?pdmfid=1516831&amp;crid=1b18db1e-56ce-4c01-b34a-9d377a26da0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la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71" Type="http://schemas.openxmlformats.org/officeDocument/2006/relationships/hyperlink" Target="https://advance-lexis-com.ezproxy.library.tufts.edu/search/?pdmfid=1516831&amp;crid=3dbaa7b0-c2a3-4c92-a52c-be9a9bc280c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jeroaka+OR+Wanggo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92" Type="http://schemas.openxmlformats.org/officeDocument/2006/relationships/drawing" Target="../drawings/drawing1.xml"/><Relationship Id="rId24" Type="http://schemas.openxmlformats.org/officeDocument/2006/relationships/hyperlink" Target="https://advance-lexis-com.ezproxy.library.tufts.edu/search/?pdmfid=1516831&amp;crid=d87c3476-848d-4610-a404-432f87cd733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Marti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TargetMode="External"/><Relationship Id="rId45" Type="http://schemas.openxmlformats.org/officeDocument/2006/relationships/hyperlink" Target="https://advance-lexis-com.ezproxy.library.tufts.edu/search/?pdmfid=1516831&amp;crid=80a506b2-ef6e-438a-9a5d-9df4db8d4fab&amp;pdpsf=&amp;pdpost=&amp;pdstartin=urn%3Ahlct%3A16&amp;oc" TargetMode="External"/><Relationship Id="rId66" Type="http://schemas.openxmlformats.org/officeDocument/2006/relationships/hyperlink" Target="https://advance-lexis-com.ezproxy.library.tufts.edu/search/?pdmfid=1516831&amp;crid=ce420ca5-55f7-4750-b003-8a5e0da6d50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na+OR+Anarjohka+OR+Karasjok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87" Type="http://schemas.openxmlformats.org/officeDocument/2006/relationships/hyperlink" Target="https://advance-lexis-com.ezproxy.library.tufts.edu/search/?pdmfid=1516831&amp;crid=22b4d840-6502-491f-b4f5-58020c960aa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ijua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 TargetMode="External"/><Relationship Id="rId110" Type="http://schemas.openxmlformats.org/officeDocument/2006/relationships/hyperlink" Target="https://advance-lexis-com.ezproxy.library.tufts.edu/search/?pdmfid=1516831&amp;crid=9908ff38-8b27-4fe7-b8b0-a20e85ff405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stara+Cha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31" Type="http://schemas.openxmlformats.org/officeDocument/2006/relationships/hyperlink" Target="https://advance-lexis-com.ezproxy.library.tufts.edu/search/?pdmfid=1516831&amp;crid=c7ab914a-5f9f-4dc7-be90-0adb54b29f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i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52" Type="http://schemas.openxmlformats.org/officeDocument/2006/relationships/hyperlink" Target="https://advance-lexis-com.ezproxy.library.tufts.edu/search/?pdmfid=1516831&amp;crid=ec6a221f-a0a6-4a59-bf93-cd04f72d761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ash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73" Type="http://schemas.openxmlformats.org/officeDocument/2006/relationships/hyperlink" Target="https://advance-lexis-com.ezproxy.library.tufts.edu/search/?pdmfid=1516831&amp;crid=14b017ab-a4fb-4090-aeb2-56d6c8563ca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ncomati+OR+Komat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94" Type="http://schemas.openxmlformats.org/officeDocument/2006/relationships/hyperlink" Target="https://advance-lexis-com.ezproxy.library.tufts.edu/search/?pdmfid=1516831&amp;crid=7d5e38ec-4513-4b70-a4f9-9b5a31d928d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ielupe+OR+Levuo+OR+Musa+OR+Berze+OR+Lecava+OR+Memele+OR+Misa+OR+Sve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08" Type="http://schemas.openxmlformats.org/officeDocument/2006/relationships/hyperlink" Target="https://advance-lexis-com.ezproxy.library.tufts.edu/search/?pdmfid=1516831&amp;crid=63a58ceb-12d8-455a-96ce-3a73c60e0a4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iu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29" Type="http://schemas.openxmlformats.org/officeDocument/2006/relationships/hyperlink" Target="https://advance-lexis-com.ezproxy.library.tufts.edu/search/?pdmfid=1516831&amp;crid=da3846c3-e90d-4e7d-a955-cab4ffd3afd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kavango+OR+Cuatir+OR+Cuito+OR+Makgadikgadi+Pans+OR+Tandaue+OR+Boteti+OR+Lake+Ngami+OR+Lake+Xau+OR+Nata+OR+Okvango+Delta+OR+Omatako+OR+Otjozondj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40" Type="http://schemas.openxmlformats.org/officeDocument/2006/relationships/hyperlink" Target="https://advance-lexis-com.ezproxy.library.tufts.edu/search/?pdmfid=1516831&amp;crid=196e664b-507b-4def-9318-642d42eab42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ndaru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61" Type="http://schemas.openxmlformats.org/officeDocument/2006/relationships/hyperlink" Target="https://advance-lexis-com.ezproxy.library.tufts.edu/search/?pdmfid=1516831&amp;crid=ef57c057-4d23-4070-bfdb-795f4d2af88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ruma+OR+Ana+Dere+OR+Beglichka+OR+Bersinski+dol+OR+Devinski+OR+Kriva+OR+Matnitza+OR+Orolachka+OR+Stara+reka+OR+Strouma+OR+Limni+Kerkuni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14" Type="http://schemas.openxmlformats.org/officeDocument/2006/relationships/hyperlink" Target="https://advance-lexis-com.ezproxy.library.tufts.edu/search/?pdmfid=1516831&amp;crid=77b7af4a-a2ea-4da0-8ca3-5bf44041b49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emerice+OR+Drin+OR+Drinizi+OR+Fshat+OR+Gjemon+OR+Gjonc+OR+Kamenice+OR+Kasaj+OR+Lavdan+OR+Leminot+OR+Markez+OR+Ohridsko+Jezero+OR+Lake+Ohrid+OR+Prifte+OR+Sopale+OR+Teqese+OR+T%27plan+OR+Tropoje+OR+Verlen+OR+Zberga+OR+Beli+Drim+OR+Pecska+Bistri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d7000717-2661-4f9f-bce1-069052346960" TargetMode="External"/><Relationship Id="rId35" Type="http://schemas.openxmlformats.org/officeDocument/2006/relationships/hyperlink" Target="https://advance-lexis-com.ezproxy.library.tufts.edu/search/?pdmfid=1516831&amp;crid=0f78b520-0c71-424e-a2c8-2bd554a2f4b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Great)+Scarci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3c84cd28-db4f-4118-821f-7d4f84b30330" TargetMode="External"/><Relationship Id="rId56" Type="http://schemas.openxmlformats.org/officeDocument/2006/relationships/hyperlink" Target="https://advance-lexis-com.ezproxy.library.tufts.edu/search/?pdmfid=1516831&amp;crid=32fbbde7-68a5-41fe-9351-8915f54ee649&amp;pdpsf=&amp;pdpost=&amp;pdstartin=urn%3Ahlct%3A16&amp;oc" TargetMode="External"/><Relationship Id="rId77" Type="http://schemas.openxmlformats.org/officeDocument/2006/relationships/hyperlink" Target="https://advance-lexis-com.ezproxy.library.tufts.edu/search/?pdmfid=1516831&amp;crid=0a5140c4-c1d1-45a1-aca1-ff9ae32cbe5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ondo+OR+CAPS(Azu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100" Type="http://schemas.openxmlformats.org/officeDocument/2006/relationships/hyperlink" Target="https://advance-lexis-com.ezproxy.library.tufts.edu/search/?pdmfid=1516831&amp;crid=fec62cbd-b7b8-4d21-88a4-2032ad75d6b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dig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 TargetMode="External"/><Relationship Id="rId282" Type="http://schemas.openxmlformats.org/officeDocument/2006/relationships/hyperlink" Target="https://advance-lexis-com.ezproxy.library.tufts.edu/search/?pdmfid=1516831&amp;crid=da1e58a5-6bf6-44e9-962c-84041265a4f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nta+OR+Luksta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8" Type="http://schemas.openxmlformats.org/officeDocument/2006/relationships/hyperlink" Target="https://advance-lexis-com.ezproxy.library.tufts.edu/search/?pdmfid=1516831&amp;crid=4cf3c068-91d1-4158-8a98-9c24e56be26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uzi+OR+Rio+Revue+OR+Chibudzana+OR+Nyanhombo+OR+CAPS(Rio)+OR+Sterkstroo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TargetMode="External"/><Relationship Id="rId98" Type="http://schemas.openxmlformats.org/officeDocument/2006/relationships/hyperlink" Target="https://advance-lexis-com.ezproxy.library.tufts.edu/search/?pdmfid=1516831&amp;crid=a1e400d6-b8ee-4dc2-9bc4-c023844c9c1f&amp;pdpsf=&amp;pdpost=&amp;pdstartin=urn%3Ahlct%3A16&amp;oc" TargetMode="External"/><Relationship Id="rId121" Type="http://schemas.openxmlformats.org/officeDocument/2006/relationships/hyperlink" Target="https://advance-lexis-com.ezproxy.library.tufts.edu/search/?pdmfid=1516831&amp;crid=180415c0-8e43-4520-8653-869158ff96b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nga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42" Type="http://schemas.openxmlformats.org/officeDocument/2006/relationships/hyperlink" Target="https://advance-lexis-com.ezproxy.library.tufts.edu/search/?pdmfid=1516831&amp;crid=b67f52b5-4a07-40ca-95d5-29796b83114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stletow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63" Type="http://schemas.openxmlformats.org/officeDocument/2006/relationships/hyperlink" Target="https://advance-lexis-com.ezproxy.library.tufts.edu/search/?pdmfid=1516831&amp;crid=987fd3f0-6fa9-4ce5-be1a-a9dee0e108a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la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84" Type="http://schemas.openxmlformats.org/officeDocument/2006/relationships/hyperlink" Target="https://advance-lexis-com.ezproxy.library.tufts.edu/search/?pdmfid=1516831&amp;crid=7c165d40-0659-4234-8a0f-83bd964e65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r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19" Type="http://schemas.openxmlformats.org/officeDocument/2006/relationships/hyperlink" Target="https://advance-lexis-com.ezproxy.library.tufts.edu/search/?pdmfid=1516831&amp;crid=0902cc7f-9cfe-4030-b767-aac6566b9fc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atam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30" Type="http://schemas.openxmlformats.org/officeDocument/2006/relationships/hyperlink" Target="https://advance-lexis-com.ezproxy.library.tufts.edu/search/?pdmfid=1516831&amp;crid=7ac1ba5c-dce6-4b2e-a7c1-2c85fe3c655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langa+OR+Iijoki+OR+Oulujoki+OR+Pya+Oze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51" Type="http://schemas.openxmlformats.org/officeDocument/2006/relationships/hyperlink" Target="https://advance-lexis-com.ezproxy.library.tufts.edu/search/?pdmfid=1516831&amp;crid=d38a7a3d-73f3-43e4-ade4-893ca07506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mu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5" Type="http://schemas.openxmlformats.org/officeDocument/2006/relationships/hyperlink" Target="https://advance-lexis-com.ezproxy.library.tufts.edu/search/?pdmfid=1516831&amp;crid=dcc26c19-0f12-4f05-85a0-7bc23e7aad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ine+OR+Aube+OR+Eure+OR+Iton+OR+Marne+OR+Oise+OR+Vanne+OR+Yon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TargetMode="External"/><Relationship Id="rId46" Type="http://schemas.openxmlformats.org/officeDocument/2006/relationships/hyperlink" Target="https://advance-lexis-com.ezproxy.library.tufts.edu/search/?pdmfid=1516831&amp;crid=2ea6f4e4-1110-4f21-be90-6ed4c62c2c7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scu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5a37053e-c4dc-4d33-b80c-af6f5e1a27f9" TargetMode="External"/><Relationship Id="rId67" Type="http://schemas.openxmlformats.org/officeDocument/2006/relationships/hyperlink" Target="https://advance-lexis-com.ezproxy.library.tufts.edu/search/?pdmfid=1516831&amp;crid=e6db0760-1780-4137-84db-88742aa0209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John+OR+Canaan+OR+Monquart+OR+Saint+John+OR+Sisson+OR+Thames+OR+CAPS(Verde)+OR+Allasash+OR+CAPS(Eagle+Lake)+OR+CAPS(Fish)+OR+CAPS(Long+Lake)+OR+Munsungan+lake+OR+Musquacook+Lakes+OR+CAPS(Round+Pond)+OR+Sqnapan+Lake+OR+Umsaskis+Lak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272" Type="http://schemas.openxmlformats.org/officeDocument/2006/relationships/hyperlink" Target="https://advance-lexis-com.ezproxy.library.tufts.edu/search/?pdmfid=1516831&amp;crid=4012bb3e-9715-4970-be40-7e04c683aa6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orne+OR+Kilpisjarvi+OR+Miekojarvi+OR+Jerisjarvi+OR+Konkamaalven+OR+Lanioalven+OR+Lataseno+OR+Muonioalven+OR+Parkajoki+OR+Tornealven+OR+Tornetras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88" Type="http://schemas.openxmlformats.org/officeDocument/2006/relationships/hyperlink" Target="https://advance-lexis-com.ezproxy.library.tufts.edu/search/?pdmfid=1516831&amp;crid=d601b35d-9b92-4a25-bdff-14ee3095907b&amp;pdpsf=&amp;pdpost=&amp;pdstartin=urn%3Ahlct%3A16" TargetMode="External"/><Relationship Id="rId111" Type="http://schemas.openxmlformats.org/officeDocument/2006/relationships/hyperlink" Target="https://advance-lexis-com.ezproxy.library.tufts.edu/search/?pdmfid=1516831&amp;crid=d7c8c0bd-2a77-4637-87c0-4bda5500c8a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trak+OR+Sumbe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32" Type="http://schemas.openxmlformats.org/officeDocument/2006/relationships/hyperlink" Target="https://advance-lexis-com.ezproxy.library.tufts.edu/search/?pdmfid=1516831&amp;crid=d1d9aa4a-9463-4b32-a6a0-e894c7f3727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olute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53" Type="http://schemas.openxmlformats.org/officeDocument/2006/relationships/hyperlink" Target="https://advance-lexis-com.ezproxy.library.tufts.edu/search/?pdmfid=1516831&amp;crid=e28ab2be-8da9-4a62-a481-580ecbdd6b4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rysa+OR+Dzirina+Zakh+OR+Dzisna+OR+Voz+Drysvyaty+OR+Voz+Snudy+OR+Levuo+OR+Aiviekeste+OR+Berze+OR+Daugava+OR+Lecaba+OR+Lielupe+OR+Lubanas+Ezers+OR+Lucava+OR+Maita+OR+Memele+OR+Misa+OR+Musa+OR+Ogre+OR+Pededze+OR+Reznas+Ezers+OR+Rusonu+Ezers+OR+Sivera+Ezers+OR+Sve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74" Type="http://schemas.openxmlformats.org/officeDocument/2006/relationships/hyperlink" Target="https://advance-lexis-com.ezproxy.library.tufts.edu/search/?pdmfid=1516831&amp;crid=c4fc1968-e6d9-4a9d-8a2d-bdd45aa55a3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li+OR+Kunes+He+OR+Illi+OR+Malaya+Almaatin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95" Type="http://schemas.openxmlformats.org/officeDocument/2006/relationships/hyperlink" Target="https://advance-lexis-com.ezproxy.library.tufts.edu/search/?pdmfid=1516831&amp;crid=c1517a57-85b4-423c-acdd-35aa71182b9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ugh+Melvi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09" Type="http://schemas.openxmlformats.org/officeDocument/2006/relationships/hyperlink" Target="https://advance-lexis-com.ezproxy.library.tufts.edu/search/?pdmfid=1516831&amp;crid=2ca7bed2-0403-4231-a6bc-4dd59c4966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20" Type="http://schemas.openxmlformats.org/officeDocument/2006/relationships/hyperlink" Target="https://advance-lexis-com.ezproxy.library.tufts.edu/search/?pdmfid=1516831&amp;crid=4ad7c6ef-2c68-4810-8549-c20f1e01b19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idelv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41" Type="http://schemas.openxmlformats.org/officeDocument/2006/relationships/hyperlink" Target="https://advance-lexis-com.ezproxy.library.tufts.edu/search/?pdmfid=1516831&amp;crid=5e45ddf8-eda9-45db-86b4-e36d1ce2543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rohladnaj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15" Type="http://schemas.openxmlformats.org/officeDocument/2006/relationships/hyperlink" Target="https://advance-lexis-com.ezproxy.library.tufts.edu/search/?pdmfid=1516831&amp;crid=e4808135-3e86-4a77-b983-b461fac6b31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mbia+OR+Sandoug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aff113b6-2cc6-49f7-bcf9-d55d8442ceae" TargetMode="External"/><Relationship Id="rId36" Type="http://schemas.openxmlformats.org/officeDocument/2006/relationships/hyperlink" Target="https://advance-lexis-com.ezproxy.library.tufts.edu/search/?pdmfid=1516831&amp;crid=93d2dd1b-1bf9-4a63-872c-008deedb7d8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ordan+OR+CAPS(Dead+Sea)+OR+Sea+of+Galilee+OR+Nahr+az+Zarga+OR+Wadi+al+Jaydyb+OR+Yarmuk+OR+Yarmouk+OR+Hasb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efec660b-1716-4f2b-8a85-94c9da0c13fc" TargetMode="External"/><Relationship Id="rId57" Type="http://schemas.openxmlformats.org/officeDocument/2006/relationships/hyperlink" Target="https://advance-lexis-com.ezproxy.library.tufts.edu/search/?pdmfid=1516831&amp;crid=98c387e3-0b58-4bea-a678-a6979296eda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eman+OR+Byarezina+OR+Isloch%27+OR+Kotra+OR+Mowchadz+OR+Shchara+OR+Srislach+OR+Usa+OR+Viliya+OR+Voz.+Narach+OR+Voz.+Srir+OR+Vynya+OR+Zal%27ryanka+OR+Akmend+OR+Dievogala+OR+Dubysa+OR+Dusia+OR+Grauze+OR+Jura+OR+Mitura+OR+Nemunas+OR+Neris+OR+Nevezis+OR+Nova+OR+Obelis+OR+Ova+OR+Sesuris+OR+Striuna+OR+Susre+OR+Sventoj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262" Type="http://schemas.openxmlformats.org/officeDocument/2006/relationships/hyperlink" Target="https://advance-lexis-com.ezproxy.library.tufts.edu/search/?pdmfid=1516831&amp;crid=bd66757a-788a-421d-915b-e8525342eff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uchia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83" Type="http://schemas.openxmlformats.org/officeDocument/2006/relationships/hyperlink" Target="https://advance-lexis-com.ezproxy.library.tufts.edu/search/?pdmfid=1516831&amp;crid=13e7ba9c-eea7-4fbd-a30c-04e2c615c18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fs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78" Type="http://schemas.openxmlformats.org/officeDocument/2006/relationships/hyperlink" Target="https://advance-lexis-com.ezproxy.library.tufts.edu/search/?pdmfid=1516831&amp;crid=e89ed53a-fe10-4903-9135-1e93873f2961&amp;pdpsf=&amp;pdpost=&amp;pdstartin=urn%3Ahlct%3A16&amp;oc" TargetMode="External"/><Relationship Id="rId99" Type="http://schemas.openxmlformats.org/officeDocument/2006/relationships/hyperlink" Target="https://advance-lexis-com.ezproxy.library.tufts.edu/search/?pdmfid=1516831&amp;crid=1313aee7-80c2-41f3-be7a-7d8875e9cb5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Rann+of+Kutc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xxLg9kk&amp;earg=pdpsf&amp;prid=7933c74d-4fd2-41c1-8403-408d4d057d07" TargetMode="External"/><Relationship Id="rId101" Type="http://schemas.openxmlformats.org/officeDocument/2006/relationships/hyperlink" Target="https://advance-lexis-com.ezproxy.library.tufts.edu/search/?pdmfid=1516831&amp;crid=57793ffd-53d5-4693-8e20-0f0093f7414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kp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 TargetMode="External"/><Relationship Id="rId122" Type="http://schemas.openxmlformats.org/officeDocument/2006/relationships/hyperlink" Target="https://advance-lexis-com.ezproxy.library.tufts.edu/search/?pdmfid=1516831&amp;crid=41dc382b-a91d-42df-85a9-8090b5e4ac7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ed+Bou+Namouss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43" Type="http://schemas.openxmlformats.org/officeDocument/2006/relationships/hyperlink" Target="https://advance-lexis-com.ezproxy.library.tufts.edu/search/?pdmfid=1516831&amp;crid=e99fba97-375b-4454-939d-33ffe5db2ff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estos+OR+Nuo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64" Type="http://schemas.openxmlformats.org/officeDocument/2006/relationships/hyperlink" Target="https://advance-lexis-com.ezproxy.library.tufts.edu/search/?pdmfid=1516831&amp;crid=931e6758-7784-4f99-b649-69857438383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la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85" Type="http://schemas.openxmlformats.org/officeDocument/2006/relationships/hyperlink" Target="https://advance-lexis-com.ezproxy.library.tufts.edu/search/?pdmfid=1516831&amp;crid=9f1573f3-ef4a-43f9-b470-d21048568cb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laralven+OR+Lettan+OR+Ore+alv)+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9" Type="http://schemas.openxmlformats.org/officeDocument/2006/relationships/hyperlink" Target="https://advance-lexis-com.ezproxy.library.tufts.edu/search/?pdmfid=1516831&amp;crid=4345e65f-f82e-4ac4-a27f-aa5d25e37c8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OR+Song+La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TargetMode="External"/><Relationship Id="rId210" Type="http://schemas.openxmlformats.org/officeDocument/2006/relationships/hyperlink" Target="https://advance-lexis-com.ezproxy.library.tufts.edu/search/?pdmfid=1516831&amp;crid=aa2c115a-4f21-4fe9-9d73-102bb84476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h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6" Type="http://schemas.openxmlformats.org/officeDocument/2006/relationships/hyperlink" Target="https://advance-lexis-com.ezproxy.library.tufts.edu/search/?pdmfid=1516831&amp;crid=5d295067-1e30-4597-bae4-770919553d2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lween+OR+Kuke+OR+Hsim+OR+Inle+Lake+OR+CAPS(Ma)+OR+Nanding+OR+Pang+OR+Pawn+OR+Pilu+OR+Teng+OR+Moei+OR+N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2dd21e56-25d2-4b5e-8616-173714335388" TargetMode="External"/><Relationship Id="rId231" Type="http://schemas.openxmlformats.org/officeDocument/2006/relationships/hyperlink" Target="https://advance-lexis-com.ezproxy.library.tufts.edu/search/?pdmfid=1516831&amp;crid=5e146866-a5ed-4169-b050-b5debefd54d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eme+OR+Okpa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52" Type="http://schemas.openxmlformats.org/officeDocument/2006/relationships/hyperlink" Target="https://advance-lexis-com.ezproxy.library.tufts.edu/search/?pdmfid=1516831&amp;crid=2a507866-b737-4212-9b70-5bb06020a8d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ag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73" Type="http://schemas.openxmlformats.org/officeDocument/2006/relationships/hyperlink" Target="https://advance-lexis-com.ezproxy.library.tufts.edu/search/?pdmfid=1516831&amp;crid=a17cf578-21ee-467f-8ea7-f08d52b4675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ri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47" Type="http://schemas.openxmlformats.org/officeDocument/2006/relationships/hyperlink" Target="https://advance-lexis-com.ezproxy.library.tufts.edu/search/?pdmfid=1516831&amp;crid=ebf6eeee-69af-4dde-90b1-959f8f3e3fb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Geneva+OR+CAPS(Rotten)+OR+Aigues+OR+Ain+OR+Arc+OR+Ardeche+OR+Arly+OR+Asse+OR+Balaing+OR+Buech+OR+Cenise+OR+Dorinet+OR+Doron+De+Beaufort+OR+Doubs+OR+Drac+OR+Drome+OR+Durance+OR+Eau+D%27Olle+OR+Fier+OR+Flumet+OR+Gees+OR+Geez+OR+Grosne+OR+Infernet+OR+Lac+d%27anneay+OR+Lac+de+Serre-ponson+OR+Lac+du+Bourget+OR+Lac+Leman+OR+Lone+OR+Poncellamont+OR+Rhone+OR+Riou+OR+Rious+Gras+OR+Romanche+OR+Saone+OR+Torrent+de+la+Sassiere+OR+Verdan+OR+Veyle+OR+Ise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 TargetMode="External"/><Relationship Id="rId68" Type="http://schemas.openxmlformats.org/officeDocument/2006/relationships/hyperlink" Target="https://advance-lexis-com.ezproxy.library.tufts.edu/search/?pdmfid=1516831&amp;crid=954a9d59-4b8a-45a9-8833-f1d4630751e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ssandra+OR+Lac+de+Buyo+OR+Lobo+OR+Nz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89" Type="http://schemas.openxmlformats.org/officeDocument/2006/relationships/hyperlink" Target="https://advance-lexis-com.ezproxy.library.tufts.edu/search/?pdmfid=1516831&amp;crid=e0b96ec5-1afe-4be1-945a-83e47861026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kagi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 TargetMode="External"/><Relationship Id="rId112" Type="http://schemas.openxmlformats.org/officeDocument/2006/relationships/hyperlink" Target="https://advance-lexis-com.ezproxy.library.tufts.edu/search/?pdmfid=1516831&amp;crid=8c2a0306-6bd5-43e9-9f2f-e43f1615652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vil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33" Type="http://schemas.openxmlformats.org/officeDocument/2006/relationships/hyperlink" Target="https://advance-lexis-com.ezproxy.library.tufts.edu/search/?pdmfid=1516831&amp;crid=632e06c9-07a1-4ca6-8e4b-bda84799c3c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u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54" Type="http://schemas.openxmlformats.org/officeDocument/2006/relationships/hyperlink" Target="https://advance-lexis-com.ezproxy.library.tufts.edu/search/?pdmfid=1516831&amp;crid=3c792f09-00d6-4086-89fb-2bbbb4d292c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rne+OR+Lower+Lough+Erne+OR+Upper+Lough+Er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75" Type="http://schemas.openxmlformats.org/officeDocument/2006/relationships/hyperlink" Target="https://advance-lexis-com.ezproxy.library.tufts.edu/search/?pdmfid=1516831&amp;crid=dfcbdca6-9399-4877-a988-6cd2d25f398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ndalsalv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96" Type="http://schemas.openxmlformats.org/officeDocument/2006/relationships/hyperlink" Target="https://advance-lexis-com.ezproxy.library.tufts.edu/search/?pdmfid=1516831&amp;crid=b2cf0191-1d24-4ebc-ad0e-2d98ad9fc4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goon+Dos+Patos+OR+Lagoon+Mirim+OR+Yaguaro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00" Type="http://schemas.openxmlformats.org/officeDocument/2006/relationships/hyperlink" Target="https://advance-lexis-com.ezproxy.library.tufts.edu/search/?pdmfid=1516831&amp;crid=a8dac97f-89cb-422f-b525-17d662e903d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na+OR+Mor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6" Type="http://schemas.openxmlformats.org/officeDocument/2006/relationships/hyperlink" Target="https://advance-lexis-com.ezproxy.library.tufts.edu/search/?pdmfid=1516831&amp;crid=94b1f816-1e50-4727-87c7-b3de1d7b039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ffluent+du+Lot+OR+Agout+OR+Alrance+OR+Ariege+OR+Arrats+OR+Aveyron+OR+Bage+OR+Baise+OR+Ceret+OR+Cerou+OR+Dadou+OR+Dourdou+OR+Dropt+OR+Garonne+OR+Gelise+OR+Gers+OR+Gesse+OR+Gimone+OR+Labenede+OR+Lezert+OR+Lot+OR+Osse+OR+Save+OR+Tarn+OR+Tolerme+OR+CAPS(Touch)+OR+Truel+OR+Truyere+OR+Valescure+OR+Vebre+OR+Viaur+OR+Vioulou+OR+Ardila+OR+Campilhas+OR+Chanca+OR+Cobres+OR+Dogeba+OR+Odivelas+OR+Roxo+OR+Vale+Diogo+OR+Vascao+OR+Xarra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 TargetMode="External"/><Relationship Id="rId221" Type="http://schemas.openxmlformats.org/officeDocument/2006/relationships/hyperlink" Target="https://advance-lexis-com.ezproxy.library.tufts.edu/search/?pdmfid=1516831&amp;crid=98b06ce5-5956-4cde-91c2-3e1d600b69c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eretv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42" Type="http://schemas.openxmlformats.org/officeDocument/2006/relationships/hyperlink" Target="https://advance-lexis-com.ezproxy.library.tufts.edu/search/?pdmfid=1516831&amp;crid=4c3f093e-ea26-415a-8761-0a1b8ad3e0a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rn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63" Type="http://schemas.openxmlformats.org/officeDocument/2006/relationships/hyperlink" Target="https://advance-lexis-com.ezproxy.library.tufts.edu/search/?pdmfid=1516831&amp;crid=410fa3f2-6a6b-4269-9dc3-8f9b3011476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ujfu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84" Type="http://schemas.openxmlformats.org/officeDocument/2006/relationships/hyperlink" Target="https://advance-lexis-com.ezproxy.library.tufts.edu/search/?pdmfid=1516831&amp;crid=4efefe6b-c561-4377-a040-5e252ea2369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la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37" Type="http://schemas.openxmlformats.org/officeDocument/2006/relationships/hyperlink" Target="https://advance-lexis-com.ezproxy.library.tufts.edu/search/?pdmfid=1516831&amp;crid=bbc1ca4c-226e-4f87-9467-0686d4c778a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Cay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c56d6623-ee53-4b67-8ffa-a33271ef8ac9" TargetMode="External"/><Relationship Id="rId58" Type="http://schemas.openxmlformats.org/officeDocument/2006/relationships/hyperlink" Target="https://advance-lexis-com.ezproxy.library.tufts.edu/search/?pdmfid=1516831&amp;crid=5d7c7520-e588-4ffb-832f-41ab60e03f3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u+Lun+T%27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79" Type="http://schemas.openxmlformats.org/officeDocument/2006/relationships/hyperlink" Target="https://advance-lexis-com.ezproxy.library.tufts.edu/search/?pdmfid=1516831&amp;crid=bc0b27ea-6b4f-4af3-ba39-77c362e3f42e&amp;pdpsf=&amp;pdpost=&amp;pdstartin=urn%3Ahlct%3A16&amp;oc" TargetMode="External"/><Relationship Id="rId102" Type="http://schemas.openxmlformats.org/officeDocument/2006/relationships/hyperlink" Target="https://advance-lexis-com.ezproxy.library.tufts.edu/search/?pdmfid=1516831&amp;crid=70807c1d-644d-4515-8945-8dcc70ca15b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lako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 TargetMode="External"/><Relationship Id="rId123" Type="http://schemas.openxmlformats.org/officeDocument/2006/relationships/hyperlink" Target="https://advance-lexis-com.ezproxy.library.tufts.edu/search/?pdmfid=1516831&amp;crid=5cfdbf52-01c6-4ea6-a2f1-45a00a7aa49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rbyelv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44" Type="http://schemas.openxmlformats.org/officeDocument/2006/relationships/hyperlink" Target="https://advance-lexis-com.ezproxy.library.tufts.edu/search/?pdmfid=1516831&amp;crid=ef213ed4-d774-4feb-9a7f-289863f632e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atan+Achu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90" Type="http://schemas.openxmlformats.org/officeDocument/2006/relationships/hyperlink" Target="https://advance-lexis-com.ezproxy.library.tufts.edu/search/?pdmfid=1516831&amp;crid=5a18ff56-b1ae-4eda-8e87-6c974a868c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hu+OR+Ch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 TargetMode="External"/><Relationship Id="rId165" Type="http://schemas.openxmlformats.org/officeDocument/2006/relationships/hyperlink" Target="https://advance-lexis-com.ezproxy.library.tufts.edu/search/?pdmfid=1516831&amp;crid=84d6780f-f1f4-46b2-9014-3bdfc9efc88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olo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86" Type="http://schemas.openxmlformats.org/officeDocument/2006/relationships/hyperlink" Target="https://advance-lexis-com.ezproxy.library.tufts.edu/search/?pdmfid=1516831&amp;crid=589c068f-0964-457b-a19b-66a8b4bb1d5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unene+OR+Cunene+OR+Caculuva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11" Type="http://schemas.openxmlformats.org/officeDocument/2006/relationships/hyperlink" Target="https://advance-lexis-com.ezproxy.library.tufts.edu/search/?pdmfid=1516831&amp;crid=c0b71d33-843b-41b1-8af7-7c546a5e78f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no+OR+Og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32" Type="http://schemas.openxmlformats.org/officeDocument/2006/relationships/hyperlink" Target="https://advance-lexis-com.ezproxy.library.tufts.edu/search/?pdmfid=1516831&amp;crid=7811835e-93e6-4efb-8320-79951d58b02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l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53" Type="http://schemas.openxmlformats.org/officeDocument/2006/relationships/hyperlink" Target="https://advance-lexis-com.ezproxy.library.tufts.edu/search/?pdmfid=1516831&amp;crid=002f5a41-91e0-45ae-aba2-0cac5b7f171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buk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74" Type="http://schemas.openxmlformats.org/officeDocument/2006/relationships/hyperlink" Target="https://advance-lexis-com.ezproxy.library.tufts.edu/search/?pdmfid=1516831&amp;crid=4f716cdc-f611-496a-b8e1-6c0a03e9c3d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umb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7" Type="http://schemas.openxmlformats.org/officeDocument/2006/relationships/hyperlink" Target="https://advance-lexis-com.ezproxy.library.tufts.edu/search/?pdmfid=1516831&amp;crid=910a8d5a-a503-4ad9-b40b-c6c3dabda93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Don)+OR+Kalaus+OR+Khoper+OR+Medreditsa+OR+Oskol+OR+Oz+Manych+Gudilo+OR+Sal+OR+Sir.+Donets+OR+Sosna+OR+Tsimlyanskoye+Vdkhr+OR+Vorona+OR+Voronez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TargetMode="External"/><Relationship Id="rId48" Type="http://schemas.openxmlformats.org/officeDocument/2006/relationships/hyperlink" Target="https://advance-lexis-com.ezproxy.library.tufts.edu/search/?pdmfid=1516831&amp;crid=897b581a-18bc-4d4b-8405-4dc7bcfef74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Joh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68923eba-0f91-40c2-859c-8f496864540d" TargetMode="External"/><Relationship Id="rId69" Type="http://schemas.openxmlformats.org/officeDocument/2006/relationships/hyperlink" Target="https://advance-lexis-com.ezproxy.library.tufts.edu/search/?pdmfid=1516831&amp;crid=c971f881-d257-4cb1-a728-1a6ccfcd6ed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bi+OR+Lake+Muririkwi+OR+Maroro+OR+Mukwadzi+OR+Munene+OR+Muneni+OR+Musongwa+OR+Mutirikwi+OR+Mutorashanga+OR+Mwarazi+OR+Ngezi+OR+Odzani+OR+Odzi+OR+Runde+OR+Squatodz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113" Type="http://schemas.openxmlformats.org/officeDocument/2006/relationships/hyperlink" Target="https://advance-lexis-com.ezproxy.library.tufts.edu/search/?pdmfid=1516831&amp;crid=13500b23-77c4-4282-8bd0-7f0e38d4fe6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bhe+Bid+Hayak+OR+Awash+OR+Finochaa+OR+Gemeri+Hayak+OR+Petit+Akabi+OR+Sendaf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34" Type="http://schemas.openxmlformats.org/officeDocument/2006/relationships/hyperlink" Target="https://advance-lexis-com.ezproxy.library.tufts.edu/search/?pdmfid=1516831&amp;crid=c83ef7b4-c5f7-49f1-9c9a-903371d8b94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ilka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80" Type="http://schemas.openxmlformats.org/officeDocument/2006/relationships/hyperlink" Target="https://advance-lexis-com.ezproxy.library.tufts.edu/search/?pdmfid=1516831&amp;crid=0ac2b69f-d5f6-416f-9c47-281b1f23a0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ull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3092d136-ec6e-43bd-89c2-d8aa8d65e64e" TargetMode="External"/><Relationship Id="rId155" Type="http://schemas.openxmlformats.org/officeDocument/2006/relationships/hyperlink" Target="https://advance-lexis-com.ezproxy.library.tufts.edu/search/?pdmfid=1516831&amp;crid=be303dda-00a4-428d-8ad2-812ee1be0d2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ssequibo+OR+Burro-Burro+OR+Illiwa+OR+Kwitaro+OR+Mazarani+OR+Mazaruni+OR+Rupununi+OR+Siaruni+OR+Takutu+OR+Tacuta+OR+Cuyu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76" Type="http://schemas.openxmlformats.org/officeDocument/2006/relationships/hyperlink" Target="https://advance-lexis-com.ezproxy.library.tufts.edu/search/?pdmfid=1516831&amp;crid=f071d0bf-7c39-45c1-81af-75fd01173f5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sonzo+OR+So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97" Type="http://schemas.openxmlformats.org/officeDocument/2006/relationships/hyperlink" Target="https://advance-lexis-com.ezproxy.library.tufts.edu/search/?pdmfid=1516831&amp;crid=f9b55fea-0a4a-452c-899f-313004c9497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01" Type="http://schemas.openxmlformats.org/officeDocument/2006/relationships/hyperlink" Target="https://advance-lexis-com.ezproxy.library.tufts.edu/search/?pdmfid=1516831&amp;crid=632ce127-bf4b-4084-8584-ecdc26068bd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22" Type="http://schemas.openxmlformats.org/officeDocument/2006/relationships/hyperlink" Target="https://advance-lexis-com.ezproxy.library.tufts.edu/search/?pdmfid=1516831&amp;crid=c27ebd1d-9e16-4966-ab7f-939e80efa3d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rva+OR+Peipus+OR+Vohandu+OR+Cherekha+OR+Kuchva+OR+L.Peipus+OR+Chudskoye+Ozero+OR+Pskovskoye+Ozero+OR+Sinyaya+OR+Utroya+OR+Velika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43" Type="http://schemas.openxmlformats.org/officeDocument/2006/relationships/hyperlink" Target="https://advance-lexis-com.ezproxy.library.tufts.edu/search/?pdmfid=1516831&amp;crid=de0c8be6-9c0c-49ed-9242-a32d3dc5998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s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64" Type="http://schemas.openxmlformats.org/officeDocument/2006/relationships/hyperlink" Target="https://advance-lexis-com.ezproxy.library.tufts.edu/search/?pdmfid=1516831&amp;crid=d4cf508c-1d86-439b-967a-c88f030a5c2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ulak+OR+Avar+Kois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85" Type="http://schemas.openxmlformats.org/officeDocument/2006/relationships/hyperlink" Target="https://advance-lexis-com.ezproxy.library.tufts.edu/search/?pdmfid=1516831&amp;crid=4ab7c844-7b41-4440-9b07-aeaacdedbcd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ardar+OR+Bregalnica+OR+Crna+OR+Kriva+OR+Pcinja+OR+Treska+OR+Crna+Reka+OR+Kocanska+OR+Lepenac+OR+Tres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17" Type="http://schemas.openxmlformats.org/officeDocument/2006/relationships/hyperlink" Target="https://advance-lexis-com.ezproxy.library.tufts.edu/search/?pdmfid=1516831&amp;crid=138a28b9-b110-44a5-9fd6-a183312424e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b-e+Istadeh-ye+OR+Arghanadab+OR+Dasht-e+Nuvar+OR+Hamuh-e+Puzak+OR+Helmand+OR+Rowd-e+Lurah+OR+Tarnak+OR+Kor+OR+Sivand)+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aff113b6-2cc6-49f7-bcf9-d55d8442ceae" TargetMode="External"/><Relationship Id="rId38" Type="http://schemas.openxmlformats.org/officeDocument/2006/relationships/hyperlink" Target="https://advance-lexis-com.ezproxy.library.tufts.edu/search/?pdmfid=1516831&amp;crid=9ef6968b-6c03-4728-87da-7e4549cf175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Prespa+OR+Frankovishte+OR+Grabovice+OR+Grunjas+OR+Hyle+OR+Jame+OR+Mujaz+OR+P.pusave+OR+Plloce+OR+Stropske+OR+Vakef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fe8ec578-ce27-40aa-bce7-5ca9fedf00c0" TargetMode="External"/><Relationship Id="rId59" Type="http://schemas.openxmlformats.org/officeDocument/2006/relationships/hyperlink" Target="https://advance-lexis-com.ezproxy.library.tufts.edu/search/?pdmfid=1516831&amp;crid=85ff7ff7-204f-4222-ba1c-ba1508195f0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ruzskiy+Yelanch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103" Type="http://schemas.openxmlformats.org/officeDocument/2006/relationships/hyperlink" Target="https://advance-lexis-com.ezproxy.library.tufts.edu/search/?pdmfid=1516831&amp;crid=2d355827-c7a2-4149-981f-5a23811f127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lsek+OR+Bates+Lak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 TargetMode="External"/><Relationship Id="rId124" Type="http://schemas.openxmlformats.org/officeDocument/2006/relationships/hyperlink" Target="https://advance-lexis-com.ezproxy.library.tufts.edu/search/?pdmfid=1516831&amp;crid=a82cb786-4b70-48df-b5a3-d11279eb2ba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ra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70" Type="http://schemas.openxmlformats.org/officeDocument/2006/relationships/hyperlink" Target="https://advance-lexis-com.ezproxy.library.tufts.edu/search/?pdmfid=1516831&amp;crid=3c90d510-e0a3-43d1-9d18-170dc52f03f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Rio+Grande)+OR+CAPS(Grande)+OR+Hurtad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91" Type="http://schemas.openxmlformats.org/officeDocument/2006/relationships/hyperlink" Target="https://advance-lexis-com.ezproxy.library.tufts.edu/search/?pdmfid=1516831&amp;crid=9eec26f9-71d1-4593-97d6-02fbf647ebc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lbe+OR+Bilina+OR+Moricuv+potok+OR+Mze+OR+Odrava+OR+Ohre+OR+Ploucnice+OR+Radbuza+OR+Tepla+OR+Aland+OR+Alster+OR+Biese+OR+Bleiloch+Talsperre+OR+Bode+OR+Do+sse+OR+Dumme+OR+Ehle+OR+Fiener+Bruch+OR+Fuhne+OR+Havel+OR+Ilm+OR+Jeetzel+OR+Kalte+Bode+OR+Milde+OR+Mulde+OR+Rappbode+OR+Saale+OR+Schaal+see+OR+Schilde+OR+Schwarze+Elster+OR+Selke+OR+Stepenitz+OR+Stor+OR+Sude+OR+Uchte+OR+Wipper+OR+Zillierbac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557a7b65-7153-418e-882c-c69412ac0387" TargetMode="External"/><Relationship Id="rId145" Type="http://schemas.openxmlformats.org/officeDocument/2006/relationships/hyperlink" Target="https://advance-lexis-com.ezproxy.library.tufts.edu/search/?pdmfid=1516831&amp;crid=75787082-7ab4-4cb0-b2c6-bd4ccdf9aa3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eti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66" Type="http://schemas.openxmlformats.org/officeDocument/2006/relationships/hyperlink" Target="https://advance-lexis-com.ezproxy.library.tufts.edu/search/?pdmfid=1516831&amp;crid=3f155370-8b84-4025-99ad-2af56163d96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oascor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87" Type="http://schemas.openxmlformats.org/officeDocument/2006/relationships/hyperlink" Target="https://advance-lexis-com.ezproxy.library.tufts.edu/search/?pdmfid=1516831&amp;crid=579dddea-20ca-43a3-a5f6-13e9468309e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va+OR+Prege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 Type="http://schemas.openxmlformats.org/officeDocument/2006/relationships/hyperlink" Target="https://advance-lexis-com.ezproxy.library.tufts.edu/search/?pdmfid=1516831&amp;crid=9354e9ef-0eaa-4cf0-aa72-d327a5092ae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nito+OR+Nte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ea21021-dc37-4a81-b832-05155671fa9c" TargetMode="External"/><Relationship Id="rId212" Type="http://schemas.openxmlformats.org/officeDocument/2006/relationships/hyperlink" Target="https://advance-lexis-com.ezproxy.library.tufts.edu/search/?pdmfid=1516831&amp;crid=7da855cf-ec4c-474a-bff0-f25f75ecfcf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taqu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33" Type="http://schemas.openxmlformats.org/officeDocument/2006/relationships/hyperlink" Target="https://advance-lexis-com.ezproxy.library.tufts.edu/search/?pdmfid=1516831&amp;crid=90ce7c9c-5f6a-4d1b-a5dc-04ef0e58f8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iapoque+OR+Oyupock+OR+Camop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54" Type="http://schemas.openxmlformats.org/officeDocument/2006/relationships/hyperlink" Target="https://advance-lexis-com.ezproxy.library.tufts.edu/search/?pdmfid=1516831&amp;crid=bc1be37c-4eeb-4d12-b7e4-ddd32c7f183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p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8" Type="http://schemas.openxmlformats.org/officeDocument/2006/relationships/hyperlink" Target="https://advance-lexis-com.ezproxy.library.tufts.edu/search/?pdmfid=1516831&amp;crid=c262fbc4-e51e-466f-9cd7-dedf985a91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nieper+OR+Byarezina+OR+Pinsk+Marshes+OR+Ptsich+OR+Sozh+OR+Iput%27+OR+Desna+OR+Dniepr+OR+Horyn%27+OR+Inhulets+OR+Kremenchats%27ke+Vdskh+OR+Prypyats%27+OR+Ps%27ol+OR+Seym+OR+Sluch+OR+Snov+OR+Stokhid+OR+Styr+OR+Sula+OR+Uzh+OR+Vopskla+O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ac210845-5016-4c9c-9cea-7e40c1c3ad78" TargetMode="External"/><Relationship Id="rId49" Type="http://schemas.openxmlformats.org/officeDocument/2006/relationships/hyperlink" Target="https://advance-lexis-com.ezproxy.library.tufts.edu/search/?pdmfid=1516831&amp;crid=7f33ffd8-5b4d-413c-9dc9-11ea05bdc54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ku+OR+Inklin+OR+Nahlin+OR+Nakina+OR+Shes+Lay+OR+Slok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99aab8d8-517d-4f04-9250-ddb14c2762bb" TargetMode="External"/><Relationship Id="rId114" Type="http://schemas.openxmlformats.org/officeDocument/2006/relationships/hyperlink" Target="https://advance-lexis-com.ezproxy.library.tufts.edu/search/?pdmfid=1516831&amp;crid=d8fcd9d3-f35d-406d-9efc-b83edc6b50e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ys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75" Type="http://schemas.openxmlformats.org/officeDocument/2006/relationships/hyperlink" Target="https://advance-lexis-com.ezproxy.library.tufts.edu/search/?pdmfid=1516831&amp;crid=534f86ba-d2cd-490e-986c-cbd8402eb83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um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60" Type="http://schemas.openxmlformats.org/officeDocument/2006/relationships/hyperlink" Target="https://advance-lexis-com.ezproxy.library.tufts.edu/search/?pdmfid=1516831&amp;crid=15d6bb0c-18ad-44e4-8561-d2855ef6977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animo+OR+CAPS(Gre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81" Type="http://schemas.openxmlformats.org/officeDocument/2006/relationships/hyperlink" Target="https://advance-lexis-com.ezproxy.library.tufts.edu/search/?pdmfid=1516831&amp;crid=ddd14037-2d19-495f-b362-40019c137fd0&amp;pdpsf=&amp;pdpost=&amp;pdstartin=urn%3Ahlct%3A16" TargetMode="External"/><Relationship Id="rId135" Type="http://schemas.openxmlformats.org/officeDocument/2006/relationships/hyperlink" Target="https://advance-lexis-com.ezproxy.library.tufts.edu/search/?pdmfid=1516831&amp;crid=8ee0d871-0154-4ed5-a30f-493d6eff1bd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iloang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56" Type="http://schemas.openxmlformats.org/officeDocument/2006/relationships/hyperlink" Target="https://advance-lexis-com.ezproxy.library.tufts.edu/search/?pdmfid=1516831&amp;crid=b2fc88af-0427-4c15-ae54-182c8435058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uvelai+OR+Etosh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77" Type="http://schemas.openxmlformats.org/officeDocument/2006/relationships/hyperlink" Target="https://advance-lexis-com.ezproxy.library.tufts.edu/search/?pdmfid=1516831&amp;crid=318a5b92-6c09-4816-a079-2e8223d8cf4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ayapu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98" Type="http://schemas.openxmlformats.org/officeDocument/2006/relationships/hyperlink" Target="https://advance-lexis-com.ezproxy.library.tufts.edu/search/?pdmfid=1516831&amp;crid=c42f1145-0529-46e7-b68d-35a6729338f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ff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02" Type="http://schemas.openxmlformats.org/officeDocument/2006/relationships/hyperlink" Target="https://advance-lexis-com.ezproxy.library.tufts.edu/search/?pdmfid=1516831&amp;crid=464d4532-da95-4694-9b7c-8c9115b0545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Massac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23" Type="http://schemas.openxmlformats.org/officeDocument/2006/relationships/hyperlink" Target="https://advance-lexis-com.ezproxy.library.tufts.edu/search/?pdmfid=1516831&amp;crid=c671ca1f-902b-4c6b-9f06-47061c2f709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estos+OR+Mylorem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44" Type="http://schemas.openxmlformats.org/officeDocument/2006/relationships/hyperlink" Target="https://advance-lexis-com.ezproxy.library.tufts.edu/search/?pdmfid=1516831&amp;crid=14933658-b64e-4ff2-b901-053624094b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svik+OR+Inari+OR+Ivalojoki+OR+Vaskojok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18" Type="http://schemas.openxmlformats.org/officeDocument/2006/relationships/hyperlink" Target="https://advance-lexis-com.ezproxy.library.tufts.edu/search/?pdmfid=1516831&amp;crid=cc7478ee-c5e2-4073-9690-ea9065c1fdd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rrawaddy+OR+Daying+OR+Long+Chuan+OR+Thoubal+Turel+OR+Logtak+Lake+OR+Chidwin+OR+Chindwin+OR+Chinthe+OR+Gedu+OR+Heinhtun+OR+Iudawgyi+Lake+OR+Kaukkwe+OR+Kiu+OR+Kodan+OR+Lang+OR+CAPS(Ma)+OR+Mali+OR+Manipur+OR+Meza+OR+CAPS(Mon)+OR+Mu+OR+Myitnge+OR+Myittha+OR+Nampak+OR+Namyin+OR+Nat+E-zu+OR+Nmai+OR+Pani+OR+Schweli+OR+Tainggwin+OR+Tamai+OR+Tarung+OR+Tizu-Nantaleik+OR+Uyn+OR+CAPS(Yao)+OR+CAPS(Yu)+OR+Zahaw)+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 TargetMode="External"/><Relationship Id="rId39" Type="http://schemas.openxmlformats.org/officeDocument/2006/relationships/hyperlink" Target="https://advance-lexis-com.ezproxy.library.tufts.edu/search/?pdmfid=1516831&amp;crid=d0983342-b882-429b-83db-b8c543a6ffa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impopo+OR+Changane+OR+Elands+OR+Great+Brak+OR+Great+Letaba+OR+Klein+Olifants+OR+Olifants+OR+Oompies+OR+Bubi+OR+Insiza+OR+Mchabezi+OR+Mtshabezi+OR+Mwenezi+OR+Shashe+OR+Thali+OR+Tuli+OR+Umtsabezi+OR+Umzingw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cf38ca7d-24d2-46cd-84fb-dfb3433ad27c" TargetMode="External"/><Relationship Id="rId265" Type="http://schemas.openxmlformats.org/officeDocument/2006/relationships/hyperlink" Target="https://advance-lexis-com.ezproxy.library.tufts.edu/search/?pdmfid=1516831&amp;crid=ff252b17-7c4d-409d-a7b0-43d27b2f70a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fna+OR+Meffrouc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86" Type="http://schemas.openxmlformats.org/officeDocument/2006/relationships/hyperlink" Target="https://advance-lexis-com.ezproxy.library.tufts.edu/search/?pdmfid=1516831&amp;crid=5cd19182-bb00-4cef-ad18-d325be3b15f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uoksa+OR+Koitajoki+OR+Pielisjok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50" Type="http://schemas.openxmlformats.org/officeDocument/2006/relationships/hyperlink" Target="https://advance-lexis-com.ezproxy.library.tufts.edu/search/?pdmfid=1516831&amp;crid=b75180d5-a5d7-4a4d-9ea6-866758a17f7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uloma+OR+Iova+OR+Kovda+OR+Lotta+OR+Paz+OR+Tuloma+OR+Verhnetulomskoe+OR+Voroni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8659fc5-873d-40a3-9e7d-6ce5941ad31a" TargetMode="External"/><Relationship Id="rId104" Type="http://schemas.openxmlformats.org/officeDocument/2006/relationships/hyperlink" Target="https://advance-lexis-com.ezproxy.library.tufts.edu/search/?pdmfid=1516831&amp;crid=f527046e-bb0e-4f82-9a1a-3d513f064c5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macu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 TargetMode="External"/><Relationship Id="rId125" Type="http://schemas.openxmlformats.org/officeDocument/2006/relationships/hyperlink" Target="https://advance-lexis-com.ezproxy.library.tufts.edu/search/?pdmfid=1516831&amp;crid=cbc2aefd-5148-4695-98b2-d760dfa96dc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ri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46" Type="http://schemas.openxmlformats.org/officeDocument/2006/relationships/hyperlink" Target="https://advance-lexis-com.ezproxy.library.tufts.edu/search/?pdmfid=1516831&amp;crid=a3d81650-179b-4c00-b568-92b32f18c32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tatumb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67" Type="http://schemas.openxmlformats.org/officeDocument/2006/relationships/hyperlink" Target="https://advance-lexis-com.ezproxy.library.tufts.edu/search/?pdmfid=1516831&amp;crid=5045584b-918d-4201-8ae2-7431ad0b56d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uadia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88" Type="http://schemas.openxmlformats.org/officeDocument/2006/relationships/hyperlink" Target="https://advance-lexis-com.ezproxy.library.tufts.edu/search/?pdmfid=1516831&amp;crid=c0b6ac03-0c1d-43b1-9102-c07c328ad7a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guna+Filare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71" Type="http://schemas.openxmlformats.org/officeDocument/2006/relationships/hyperlink" Target="https://advance-lexis-com.ezproxy.library.tufts.edu/search/?pdmfid=1516831&amp;crid=7d921666-bf51-490b-b355-641da80fc03a&amp;pdpsf=&amp;pdpost=&amp;pdstartin=urn%3Ahlct%3A16&amp;oc" TargetMode="External"/><Relationship Id="rId92" Type="http://schemas.openxmlformats.org/officeDocument/2006/relationships/hyperlink" Target="https://advance-lexis-com.ezproxy.library.tufts.edu/search/?pdmfid=1516831&amp;crid=356e8c8c-671d-468a-8f91-e24c3269bf3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llegos+OR+CAPS(Chic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29%2F2008to06%2F30%2F2023%7Cdatebetween&amp;pdfromadvancedsearchpage=true&amp;ecomp=qxLg9kk&amp;earg=pdpsf&amp;prid=361ae249-1b51-4f8d-974c-4ffbfafa8386" TargetMode="External"/><Relationship Id="rId213" Type="http://schemas.openxmlformats.org/officeDocument/2006/relationships/hyperlink" Target="https://advance-lexis-com.ezproxy.library.tufts.edu/search/?pdmfid=1516831&amp;crid=96b67859-12c7-49d5-83e0-0ab256f19d6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put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34" Type="http://schemas.openxmlformats.org/officeDocument/2006/relationships/hyperlink" Target="https://advance-lexis-com.ezproxy.library.tufts.edu/search/?pdmfid=1516831&amp;crid=8d67ba69-c28c-494a-afb7-85174eb85f5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ng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 Type="http://schemas.openxmlformats.org/officeDocument/2006/relationships/hyperlink" Target="https://advance-lexis-com.ezproxy.library.tufts.edu/search/?pdmfid=1516831&amp;crid=22d4f4e9-971a-469e-9184-20cd2de3455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Red)+OR+Song+Hong+OR+Amo+OR+Babian+OR+Lishe+OR+Lixian+OR+Luzhi+OR+Nanmuli+He+OR+Nanpan+Jiang+OR+Nanpanjiang+OR+Tangqiao+He+OR+Xida+He+OR+Chay+OR+CAPS(Da)+OR+Gam+OR+Kim+OR+Lo+OR+Luc+Ngan+OR+CAPS(Ma)+OR+Meuk+OR+CAPS(Na)+OR+Nhi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f28babb1-77e4-4a27-a680-fce086decbf4" TargetMode="External"/><Relationship Id="rId29" Type="http://schemas.openxmlformats.org/officeDocument/2006/relationships/hyperlink" Target="https://advance-lexis-com.ezproxy.library.tufts.edu/search/?pdmfid=1516831&amp;crid=2efcc3c1-efff-445c-a28b-5d6da530eda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Aguas+Limpias)+OR+Al+canadre+OR+Ara+OR+Aragon+OR+Arba+OR+Arga+OR+Barranco+El+Grado+OR+Bergantes+OR+Cinca+OR+Ebro+OR+Embalse+de+Santolea+OR+Embalse+de+Sotonera+OR+Embalse+de+Canelles+OR+Embalse+de+Mediano+OR+Embalse+de+Santa+Anna+OR+Embalse+de+Talarn+OR+Embalse+de+Yesa+OR+Embalse+de+Mequinenza+OR+Esca+OR+Escarra+OR+Esera+OR+Espot+OR+Gallego+OR+Guadalope+OR+Huerva+OR+Irati+OR+Jalon+OR+Jiloca+OR+Lago+Arriel+OR+Martcn+OR+Noguera+Pallaresa+OR+Noguera+Ribagorzana+OR+Panta+de+Riva-roga+OR+Peguera+OR+Pineta+OR+Riguel+OR+Segre+OR+Somero+OR+Urdicet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oc" TargetMode="External"/><Relationship Id="rId255" Type="http://schemas.openxmlformats.org/officeDocument/2006/relationships/hyperlink" Target="https://advance-lexis-com.ezproxy.library.tufts.edu/search/?pdmfid=1516831&amp;crid=4fe0ab58-11b1-44b3-8aa7-0c04d37344e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chelde+OR+Demer+OR+Dender+OR+Dijle+OR+Rupe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76" Type="http://schemas.openxmlformats.org/officeDocument/2006/relationships/hyperlink" Target="https://advance-lexis-com.ezproxy.library.tufts.edu/search/?pdmfid=1516831&amp;crid=87e17d97-0c58-450f-91ab-b0749bbf67f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mbeluzi+OR+Black+Umbuluzi+OR+White+Umbuluz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40" Type="http://schemas.openxmlformats.org/officeDocument/2006/relationships/hyperlink" Target="https://advance-lexis-com.ezproxy.library.tufts.edu/search/?pdmfid=1516831&amp;crid=146a24ab-9e36-455d-827e-a295bfa5cf11&amp;pdpsf=&amp;pdpost=&amp;pdstartin=urn%3Ahlct%3A16&amp;oc" TargetMode="External"/><Relationship Id="rId115" Type="http://schemas.openxmlformats.org/officeDocument/2006/relationships/hyperlink" Target="https://advance-lexis-com.ezproxy.library.tufts.edu/search/?pdmfid=1516831&amp;crid=bdf289b9-2548-42b2-a0c9-f8d1687acb8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nn+OR+CAPS(Black+Water)+OR+Laugh+Neagh+OR+CAPS(Lower+Laugh)+Eri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36" Type="http://schemas.openxmlformats.org/officeDocument/2006/relationships/hyperlink" Target="https://advance-lexis-com.ezproxy.library.tufts.edu/search/?pdmfid=1516831&amp;crid=9f2ae588-eb46-47d6-a860-4c65475d23e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ncoso+OR+Lauca+OR+Lagoon+de+Coipas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57" Type="http://schemas.openxmlformats.org/officeDocument/2006/relationships/hyperlink" Target="https://advance-lexis-com.ezproxy.library.tufts.edu/search/?pdmfid=1516831&amp;crid=3cfd586e-cd6f-4055-b7ca-002387f89e9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a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78" Type="http://schemas.openxmlformats.org/officeDocument/2006/relationships/hyperlink" Target="https://advance-lexis-com.ezproxy.library.tufts.edu/search/?pdmfid=1516831&amp;crid=866e7274-e4e9-4c92-b0f6-3e2eb35ee40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urad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61" Type="http://schemas.openxmlformats.org/officeDocument/2006/relationships/hyperlink" Target="https://advance-lexis-com.ezproxy.library.tufts.edu/search/?pdmfid=1516831&amp;crid=d1590155-18f6-4451-a50d-4a879ffa9bb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istula+OR+Wista+OR+Lyasnaya+OR+Mukhavyets+OR+Ryta+OR+Biata+OR+Biatka+OR+Bug+OR+Bystrzyca+OR+Bzura+OR+Czarna+OR+Drweca+OR+Dtubnia+OR+Dunajec+OR+Itzanka+OR+Jezioro+Jeziorak+OR+Jeziorka+OR+Krzna+OR+CAPS(Leg)+OR+Liwiec+OR+Lubuczowka+OR+Mtawka+OR+Nida+OR+Nurzec+OR+Ostaroa+OR+Pilica+OR+Raba+OR+Radomka+OR+Rzadza+OR+CAPS(San)+OR+Skrwa+OR+Sona+OR+Swider+OR+Wieprz+OR+Wistok+OR+Wistoka+OR+Wkra+OR+Wolica+OR+Zielawa+OR+Ozera+Svityaz%27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oc" TargetMode="External"/><Relationship Id="rId82" Type="http://schemas.openxmlformats.org/officeDocument/2006/relationships/hyperlink" Target="https://advance-lexis-com.ezproxy.library.tufts.edu/search/?pdmfid=1516831&amp;crid=ceb58b91-3ec9-489b-8135-ba651c40bc8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enisej+OR+Yenisey+OR+Angara+OR+Bakhta+OR+Bol+Kheta+OR+Braskove+Vdkhr+OR+Chadobets+OR+Chuna+OR+Egiyn+OR+Hanuy+OR+Ider+OR+Ilim+OR+Irkut+OR+Kan+OR+Kas+OR+Kochechan+OR+Nidym+OR+Nizhnyaya+Tunguska+OR+Oka+OR+Ornon+OR+Oz.+Keta+OR+Oz.+Khantayskoye+OR+Oz.+Pyasino+OR+Oz.+Agaa+OR+Ozero+Baykal+OR+Ozero+Lama+OR+Podkamennaya+Tunguska+OR+Selenge+OR+Sym+OR+Taymura+OR+Tembenchi+OR+Turu+OR+Tutonchana+OR+Uchami+OR+Uda+OR+Vel%27mo+OR+Vivi+OR+Yeloguy+OR+Yenise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oc" TargetMode="External"/><Relationship Id="rId199" Type="http://schemas.openxmlformats.org/officeDocument/2006/relationships/hyperlink" Target="https://advance-lexis-com.ezproxy.library.tufts.edu/search/?pdmfid=1516831&amp;crid=6f68fdf7-679e-4765-8c2e-736d4351540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Little)+Scarcies+OR+Mong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03" Type="http://schemas.openxmlformats.org/officeDocument/2006/relationships/hyperlink" Target="https://advance-lexis-com.ezproxy.library.tufts.edu/search/?pdmfid=1516831&amp;crid=bee11631-827e-4431-9fce-922ae62234a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b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9" Type="http://schemas.openxmlformats.org/officeDocument/2006/relationships/hyperlink" Target="https://advance-lexis-com.ezproxy.library.tufts.edu/search/?pdmfid=1516831&amp;crid=7989030f-f83f-4a2e-ac95-c2f7c1ed1ac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Azue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07b1738-8278-4e7c-aa0b-94b3e27fedbe" TargetMode="External"/><Relationship Id="rId224" Type="http://schemas.openxmlformats.org/officeDocument/2006/relationships/hyperlink" Target="https://advance-lexis-com.ezproxy.library.tufts.edu/search/?pdmfid=1516831&amp;crid=6708f9e9-a5b8-494c-b6a4-ac411b30b4d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yang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45" Type="http://schemas.openxmlformats.org/officeDocument/2006/relationships/hyperlink" Target="https://advance-lexis-com.ezproxy.library.tufts.edu/search/?pdmfid=1516831&amp;crid=21c8e3c9-39c8-4cf7-a4b8-5380b2d45bd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t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66" Type="http://schemas.openxmlformats.org/officeDocument/2006/relationships/hyperlink" Target="https://advance-lexis-com.ezproxy.library.tufts.edu/search/?pdmfid=1516831&amp;crid=d2d6bc0f-66db-43c7-81d6-bd45731dbc9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la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87" Type="http://schemas.openxmlformats.org/officeDocument/2006/relationships/hyperlink" Target="https://advance-lexis-com.ezproxy.library.tufts.edu/search/?pdmfid=1516831&amp;crid=f8478c6f-b900-4e47-a986-425c08f6d49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Wieda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30" Type="http://schemas.openxmlformats.org/officeDocument/2006/relationships/hyperlink" Target="https://advance-lexis-com.ezproxy.library.tufts.edu/search/?pdmfid=1516831&amp;crid=424f41b8-eea6-4c7d-a141-d184de22df1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irth+OR+Joe+OR+Manch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22151f5d-1e04-42a1-8a68-d7956acc0dfd" TargetMode="External"/><Relationship Id="rId105" Type="http://schemas.openxmlformats.org/officeDocument/2006/relationships/hyperlink" Target="https://advance-lexis-com.ezproxy.library.tufts.edu/search/?pdmfid=1516831&amp;crid=cc93a4c4-5e84-47b0-b381-745024f8ec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Nahr+Al+Kabir+OR+Nahr+Ibrahi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 TargetMode="External"/><Relationship Id="rId126" Type="http://schemas.openxmlformats.org/officeDocument/2006/relationships/hyperlink" Target="https://advance-lexis-com.ezproxy.library.tufts.edu/search/?pdmfid=1516831&amp;crid=83bf363b-a1d9-444b-857d-cc3861d0b5b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rt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47" Type="http://schemas.openxmlformats.org/officeDocument/2006/relationships/hyperlink" Target="https://advance-lexis-com.ezproxy.library.tufts.edu/search/?pdmfid=1516831&amp;crid=cc0a312a-3919-40b7-8666-1aa95733fc8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aou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68" Type="http://schemas.openxmlformats.org/officeDocument/2006/relationships/hyperlink" Target="https://advance-lexis-com.ezproxy.library.tufts.edu/search/?pdmfid=1516831&amp;crid=f6fcff16-660c-4234-a3f0-85b894bf889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ui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51" Type="http://schemas.openxmlformats.org/officeDocument/2006/relationships/hyperlink" Target="https://advance-lexis-com.ezproxy.library.tufts.edu/search/?pdmfid=1516831&amp;crid=e3da6b55-934f-47b5-8184-0cfc958985e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olta+OR+Massili+OR+Mouhoun+OR+CAPS(Black+Volta)+OR+Nakanbe+OR+CAPS(White+Volta)+OR+Nazinon+OR+CAPS(Red+Volta)+OR+Nkambe+OR+Volta+Blanche+OR+Daka+OR+Kulpawn+OR+Oti+OR+To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2b50beb2-e072-4297-b381-b67d966993ed" TargetMode="External"/><Relationship Id="rId72" Type="http://schemas.openxmlformats.org/officeDocument/2006/relationships/hyperlink" Target="https://advance-lexis-com.ezproxy.library.tufts.edu/search/?pdmfid=1516831&amp;crid=57900f24-29c0-4e62-89a2-5c84c66c053e&amp;pdpsf=&amp;pdpost=&amp;pdstartin=urn%3Ahlct%3A16&amp;oc" TargetMode="External"/><Relationship Id="rId93" Type="http://schemas.openxmlformats.org/officeDocument/2006/relationships/hyperlink" Target="https://advance-lexis-com.ezproxy.library.tufts.edu/search/?pdmfid=1516831&amp;crid=3700c62c-6be9-45f1-9c06-333bfe0bb40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rijalva+OR+Grijalva+OR+CAPS(Azu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d5b0e834-c850-4903-b587-5d382a230411" TargetMode="External"/><Relationship Id="rId189" Type="http://schemas.openxmlformats.org/officeDocument/2006/relationships/hyperlink" Target="https://advance-lexis-com.ezproxy.library.tufts.edu/search/?pdmfid=1516831&amp;crid=e1f32c47-f022-49bf-b5e0-d4f96c8a79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Chilw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3" Type="http://schemas.openxmlformats.org/officeDocument/2006/relationships/hyperlink" Target="https://advance.lexis.com/search/?pdmfid=1516831&amp;crid=1fff4352-9630-4cb1-9897-9e6b6e68ff3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Cros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6c061383-d2b1-49a1-9617-98848a94b271" TargetMode="External"/><Relationship Id="rId214" Type="http://schemas.openxmlformats.org/officeDocument/2006/relationships/hyperlink" Target="https://advance-lexis-com.ezproxy.library.tufts.edu/search/?pdmfid=1516831&amp;crid=f600e47e-35e6-47ea-b4c5-92d367c6fa4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urgab+OR+Gushg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35" Type="http://schemas.openxmlformats.org/officeDocument/2006/relationships/hyperlink" Target="https://advance-lexis-com.ezproxy.library.tufts.edu/search/?pdmfid=1516831&amp;crid=68c8775c-50c4-4ec7-a0ee-8b5ce5e2f68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eschana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56" Type="http://schemas.openxmlformats.org/officeDocument/2006/relationships/hyperlink" Target="https://advance-lexis-com.ezproxy.library.tufts.edu/search/?pdmfid=1516831&amp;crid=a0384b78-8d97-4f11-8311-7ddc6ec70bb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ixao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77" Type="http://schemas.openxmlformats.org/officeDocument/2006/relationships/hyperlink" Target="https://advance-lexis-com.ezproxy.library.tufts.edu/search/?pdmfid=1516831&amp;crid=de3ee4fe-d8b7-495b-b009-bd90898c353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mb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116" Type="http://schemas.openxmlformats.org/officeDocument/2006/relationships/hyperlink" Target="https://advance-lexis-com.ezproxy.library.tufts.edu/search/?pdmfid=1516831&amp;crid=05dd58a7-7328-4bd8-be6c-fab6fa677d8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hr+at+Tuba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37" Type="http://schemas.openxmlformats.org/officeDocument/2006/relationships/hyperlink" Target="https://advance-lexis-com.ezproxy.library.tufts.edu/search/?pdmfid=1516831&amp;crid=9b0aa22b-8b13-49d7-9d2a-ec44d0c031f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Coco)+OR+Segovia+OR+Amaka+OR+Bocay+OR+Waspu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58" Type="http://schemas.openxmlformats.org/officeDocument/2006/relationships/hyperlink" Target="https://advance-lexis-com.ezproxy.library.tufts.edu/search/?pdmfid=1516831&amp;crid=0320dd96-8cba-420b-96f5-b3d6f35c61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Flurr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0" Type="http://schemas.openxmlformats.org/officeDocument/2006/relationships/hyperlink" Target="https://advance-lexis-com.ezproxy.library.tufts.edu/search/?pdmfid=1516831&amp;crid=8628251c-18dc-4ae8-9718-5cd95bad4f3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Fagna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07b1738-8278-4e7c-aa0b-94b3e27fedbe" TargetMode="External"/><Relationship Id="rId41" Type="http://schemas.openxmlformats.org/officeDocument/2006/relationships/hyperlink" Target="https://advance-lexis-com.ezproxy.library.tufts.edu/search/?pdmfid=1516831&amp;crid=6e05b0e1-55e4-4609-a31f-14a690c9111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irba+OR+Lagdo+Reservoir+OR+CAPS(Rey)+OR+O%3ATi-n-Amzi+OR+Milo+OR+Tinkisso+OR+Bagoe+OR+Bani+OR+Baoule+OR+Lac+Do+OR+Lac+Garou+OR+Lac+Aougoundou+OR+Lac+Korarou+OR+Lac+Niangay+OR+Lake+Debo+OR+Vallee+de+L%27azaouak+OR+Dallol+Bosso+OR+Eliki+OR+Mekrou+OR+Dinya+OR+Gongola+OR+Gurara+OR+Ka+OR+Kaduna+OR+Kainj+Lake+OR+Kam+OR+Katsin+a+Ala+OR+Niger+OR+Oli+OR+Sokoto+OR+Taraba+OR+Teshi+OR+Wase+OR+Zamfara+OR+Benu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ef65351d-a502-4433-9460-dc4b0d723102" TargetMode="External"/><Relationship Id="rId62" Type="http://schemas.openxmlformats.org/officeDocument/2006/relationships/hyperlink" Target="https://advance-lexis-com.ezproxy.library.tufts.edu/search/?pdmfid=1516831&amp;crid=404a4723-3730-46ec-826a-fb9b7369bc1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no+Union+OR+Serra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83" Type="http://schemas.openxmlformats.org/officeDocument/2006/relationships/hyperlink" Target="https://advance-lexis-com.ezproxy.library.tufts.edu/search/?pdmfid=1516831&amp;crid=b08cd61a-5aff-41bc-be32-bf72221ce63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roundwater*+OR+aquifer*+OR+%22ground+water*%22+)+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2e92158f-e9cc-488b-8cf2-fe4574f08300" TargetMode="External"/><Relationship Id="rId179" Type="http://schemas.openxmlformats.org/officeDocument/2006/relationships/hyperlink" Target="https://advance-lexis-com.ezproxy.library.tufts.edu/search/?pdmfid=1516831&amp;crid=b597f95b-b7cb-4a2d-b884-a3c713a3ac9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alad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90" Type="http://schemas.openxmlformats.org/officeDocument/2006/relationships/hyperlink" Target="https://advance-lexis-com.ezproxy.library.tufts.edu/search/?pdmfid=1516831&amp;crid=86b1ddd1-6732-4cd0-a1f2-022c3876b9b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De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04" Type="http://schemas.openxmlformats.org/officeDocument/2006/relationships/hyperlink" Target="https://advance-lexis-com.ezproxy.library.tufts.edu/search/?pdmfid=1516831&amp;crid=926c9ab5-004f-4f4c-8011-6ca27bf1019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edjerda+OR+Medjerda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25" Type="http://schemas.openxmlformats.org/officeDocument/2006/relationships/hyperlink" Target="https://advance-lexis-com.ezproxy.library.tufts.edu/search/?pdmfid=1516831&amp;crid=f5131d31-96b5-43e7-aaff-bba4f417593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ryn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46" Type="http://schemas.openxmlformats.org/officeDocument/2006/relationships/hyperlink" Target="https://advance-lexis-com.ezproxy.library.tufts.edu/search/?pdmfid=1516831&amp;crid=86233613-b11d-404e-999c-30a6361c72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uel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67" Type="http://schemas.openxmlformats.org/officeDocument/2006/relationships/hyperlink" Target="https://advance-lexis-com.ezproxy.library.tufts.edu/search/?pdmfid=1516831&amp;crid=72de217f-ab4e-4fb2-b185-c17ec0e0cb8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m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88" Type="http://schemas.openxmlformats.org/officeDocument/2006/relationships/hyperlink" Target="https://advance-lexis-com.ezproxy.library.tufts.edu/search/?pdmfid=1516831&amp;crid=467049d4-586f-49c9-b92a-5e3b1fe91c6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Yal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106" Type="http://schemas.openxmlformats.org/officeDocument/2006/relationships/hyperlink" Target="https://advance-lexis-com.ezproxy.library.tufts.edu/search/?pdmfid=1516831&amp;crid=5cc87410-4e22-46a3-834d-e1dd20f5ca4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germ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11f9a7c2-3787-4e1f-abf0-aa84db7ef7dc" TargetMode="External"/><Relationship Id="rId127" Type="http://schemas.openxmlformats.org/officeDocument/2006/relationships/hyperlink" Target="https://advance-lexis-com.ezproxy.library.tufts.edu/search/?pdmfid=1516831&amp;crid=8dc38fb9-1dca-4aea-a498-1a9a71a4b04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et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0" Type="http://schemas.openxmlformats.org/officeDocument/2006/relationships/hyperlink" Target="https://advance-lexis-com.ezproxy.library.tufts.edu/search/?pdmfid=1516831&amp;crid=e8b4ae7a-b916-43d6-acdf-10afe225508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ta+Cla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TargetMode="External"/><Relationship Id="rId31" Type="http://schemas.openxmlformats.org/officeDocument/2006/relationships/hyperlink" Target="https://advance-lexis-com.ezproxy.library.tufts.edu/search/?pdmfid=1516831&amp;crid=811cb035-29ce-4c76-a48b-fd2ce38f520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uc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7491191-a269-4c88-adca-9c55da362b0d" TargetMode="External"/><Relationship Id="rId52" Type="http://schemas.openxmlformats.org/officeDocument/2006/relationships/hyperlink" Target="https://advance.lexis.com/search/?pdmfid=1516831&amp;crid=a6535112-0953-46fc-a2b5-7286550cee7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ijose+OR+Brete+OR+Caush+OR+Cekreze+OR+Cycen+OR+Divjak+OR+Drin+OR+Dukaj+OR+Dushk+OR+Erzen+OR+Gadurove+OR+Germet+OR+Gjanice+OR+Gjokaj+OR+Gjynagal+OR+Holte+OR+Karbunar+OR+Kryekugi+OR+Malthike+OR+Manastir+OR+Manasufaj+OR+Morush+OR+Murriz+OR+Nashies+OR+P.+madh+OR+Paskugan+OR+Pellg+OR+Perit+OR+Petresh+OR+Peze+OR+Prroi+I+zi+OR+Prroji+arrave+OR+Prroji+buzit+OR+Prroji+zi+OR+Purrez+OR+Sauk+OR+Shegas+OR+Shkumbin+OR+Shupal+OR+Skrevanit+OR+Subloze+OR+Suka+OR+Tapize+OR+Teplas+OR+Terkuze+OR+Tirane+OR+Tomorrice+OR+Uji+mbare+OR+Vashaj+OR+Vinokash+OR+Vrap+OR+Zajce+OR+Zh.I+kuq+OR+Aoos+OR+Vjos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oc" TargetMode="External"/><Relationship Id="rId73" Type="http://schemas.openxmlformats.org/officeDocument/2006/relationships/hyperlink" Target="https://advance-lexis-com.ezproxy.library.tufts.edu/search/?pdmfid=1516831&amp;crid=0b81513b-4f4a-4c2b-8ad2-ec8ace7d70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empa+OR+Lago+de+Guya+OR+CAPS(Grande)+OR+Embalse+Cerron+Grand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94" Type="http://schemas.openxmlformats.org/officeDocument/2006/relationships/hyperlink" Target="https://advance-lexis-com.ezproxy.library.tufts.edu/search/?pdmfid=1516831&amp;crid=c5f0c1b9-010f-43db-9a21-bd1b3812209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pyung+OR+Banbyon+OR+Bongjeon+OR+Buk+OR+Chachon+OR+Chongyong+OR+Chungdo+OR+Dae+OR+Donghwa+OR+Eumsung+OR+Gabsan+OR+Geumho+OR+Geumpo+OR+Gisegok+OR+Guan+OR+Gugeo+OR+Gumi+OR+Gupyung+OR+Gyungho+OR+CAPS(Han)+OR+Hangye+OR+Ieon+OR+Ilgwang+OR+Janggok+OR+Jangsu+OR+Jasan+OR+Jinchon+OR+Jinwi+OR+Jongri+OR+Joryong+OR+Jungdong+OR+Milwon+OR+Mulchi+OR+Munam+OR+Myungam+OR+Naega+OR+Naesung+OR+Nakdong+OR+Namhan+OR+Pumgok+OR+Sagae+OR+Samgi+OR+Seokhwa+OR+Soga+OR+Suyeong+OR+Suyong+OR+Wangjwa+OR+Woldong+OR+Yo+OR+Yongchon+OR+Yongge+OR+Yongwoon+OR+Chongryong+OR+Hancho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oc" TargetMode="External"/><Relationship Id="rId148" Type="http://schemas.openxmlformats.org/officeDocument/2006/relationships/hyperlink" Target="https://advance-lexis-com.ezproxy.library.tufts.edu/search/?pdmfid=1516831&amp;crid=392dda26-f4b9-43aa-88b2-d5533c0ad86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igu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69" Type="http://schemas.openxmlformats.org/officeDocument/2006/relationships/hyperlink" Target="https://advance-lexis-com.ezproxy.library.tufts.edu/search/?pdmfid=1516831&amp;crid=80200f82-f7d0-4cf6-bc3e-a0228037e46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uj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4" Type="http://schemas.openxmlformats.org/officeDocument/2006/relationships/hyperlink" Target="https://advance.lexis.com/search/?pdmfid=1516831&amp;crid=1bbf0658-8491-4737-8bae-31be6ae878b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nnecticu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102aeb2a-f850-4637-abc6-325ff14b68a9" TargetMode="External"/><Relationship Id="rId180" Type="http://schemas.openxmlformats.org/officeDocument/2006/relationships/hyperlink" Target="https://advance-lexis-com.ezproxy.library.tufts.edu/search/?pdmfid=1516831&amp;crid=a9830040-d1db-43c6-98d6-41f082773eb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emi+OR+Alasuolijarvi+OR+Askanjoki+OR+Jeesiojoki+OR+Juotasjoki+OR+Kemijoki+OR+Kemiyari+OR+Kitinen+OR+Luiro+OR+Luirojoki+OR+Ounasjoki+OR+Porttipahata+Reservoir+OR+Unar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15" Type="http://schemas.openxmlformats.org/officeDocument/2006/relationships/hyperlink" Target="https://advance-lexis-com.ezproxy.library.tufts.edu/search/?pdmfid=1516831&amp;crid=e0982c53-9f1a-4213-b08a-fbc5015c52d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roni+OR+Litani+Itany+OR+Marouini+OR+Ouagui+OR+Tampo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36" Type="http://schemas.openxmlformats.org/officeDocument/2006/relationships/hyperlink" Target="https://advance-lexis-com.ezproxy.library.tufts.edu/search/?pdmfid=1516831&amp;crid=5d491640-9644-4ff8-a74d-fb50acf4f4e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edernal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57" Type="http://schemas.openxmlformats.org/officeDocument/2006/relationships/hyperlink" Target="https://advance-lexis-com.ezproxy.library.tufts.edu/search/?pdmfid=1516831&amp;crid=1df812b1-2fc0-4141-be1e-f332a548496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mbakung)+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78" Type="http://schemas.openxmlformats.org/officeDocument/2006/relationships/hyperlink" Target="https://advance-lexis-com.ezproxy.library.tufts.edu/search/?pdmfid=1516831&amp;crid=6a2d85b6-4006-4bca-84c5-4140fc17baa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nu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42" Type="http://schemas.openxmlformats.org/officeDocument/2006/relationships/hyperlink" Target="https://advance-lexis-com.ezproxy.library.tufts.edu/search/?pdmfid=1516831&amp;crid=970522fd-dbc3-4c91-aa1f-fb3de6c9f61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rtix+OR+Ulungur+Hu+OR+Ertis+OR+Marqukol+OR+Zaysan+Koli+OR+Agan+OR+Chulm+OR+Dem%27yanka+OR+Irtysh+OR+Iset%27+OR+Ishim+OR+Katun%27+OR+Kazum+OR+Ket%27+OR+Koli%27+yegan+OR+Lisitsa+OR+Ob+OR+Om%27+OR+Parabel+OR+Pelym+OR+Rim+OR+Sabun+OR+Tara+OR+Tavda+OR+Tobol+OR+Turtas+OR+Tym+OR+Uluyul+OR+Vagay+OR+Vakh+OR+Vasyug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ccee9752-cea4-445d-95ca-bb08c574434a" TargetMode="External"/><Relationship Id="rId84" Type="http://schemas.openxmlformats.org/officeDocument/2006/relationships/hyperlink" Target="https://advance.lexis.com/search/?pdmfid=1516831&amp;crid=91b0ae20-203a-4d28-ad82-609da86e439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Croix+OR+Chiputneticoo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qxLg9kk&amp;earg=pdpsf&amp;prid=8d142b6a-d4c7-4724-9f85-903874b8df96" TargetMode="External"/><Relationship Id="rId138" Type="http://schemas.openxmlformats.org/officeDocument/2006/relationships/hyperlink" Target="https://advance-lexis-com.ezproxy.library.tufts.edu/search/?pdmfid=1516831&amp;crid=87b2a064-2cb7-4844-9af2-0b9042ecd5b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ma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91" Type="http://schemas.openxmlformats.org/officeDocument/2006/relationships/hyperlink" Target="https://advance-lexis-com.ezproxy.library.tufts.edu/search/?pdmfid=1516831&amp;crid=3273a709-8340-4666-b68d-bb5069d15f8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Rukw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05" Type="http://schemas.openxmlformats.org/officeDocument/2006/relationships/hyperlink" Target="https://advance-lexis-com.ezproxy.library.tufts.edu/search/?pdmfid=1516831&amp;crid=7215790a-6632-4cc5-a28e-b5dbfe3e625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uhuri+OR+CAPS(Little)+Fe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47" Type="http://schemas.openxmlformats.org/officeDocument/2006/relationships/hyperlink" Target="https://advance-lexis-com.ezproxy.library.tufts.edu/search/?pdmfid=1516831&amp;crid=77dc1788-475f-43e3-95df-b9abc963ee3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ungw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107" Type="http://schemas.openxmlformats.org/officeDocument/2006/relationships/hyperlink" Target="https://advance-lexis-com.ezproxy.library.tufts.edu/search/?pdmfid=1516831&amp;crid=5123f8a8-66d5-412b-9e68-8108147f301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ral+OR+Syr+Daria+OR+Naryn+OR+Amu+Daria+OR+Syr+Darya+OR+Amu+Darya+OR+Akhangaran+OR+Chirch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89" Type="http://schemas.openxmlformats.org/officeDocument/2006/relationships/hyperlink" Target="https://advance-lexis-com.ezproxy.library.tufts.edu/search/?pdmfid=1516831&amp;crid=f6b33d84-e42f-44a0-9ace-0aaa1875e5f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Yelch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11" Type="http://schemas.openxmlformats.org/officeDocument/2006/relationships/hyperlink" Target="https://advance-lexis-com.ezproxy.library.tufts.edu/search/?pdmfid=1516831&amp;crid=22c93266-4cec-4643-91de-bd612bd8098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Paul+OR+Di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TargetMode="External"/><Relationship Id="rId53" Type="http://schemas.openxmlformats.org/officeDocument/2006/relationships/hyperlink" Target="https://advance.lexis.com/search/?pdmfid=1516831&amp;crid=cc5c457a-ae25-4fb3-836c-86d495a4050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Whiting)+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27c491ae-e88a-432a-b97e-eae8036d8188" TargetMode="External"/><Relationship Id="rId149" Type="http://schemas.openxmlformats.org/officeDocument/2006/relationships/hyperlink" Target="https://advance-lexis-com.ezproxy.library.tufts.edu/search/?pdmfid=1516831&amp;crid=9a944edd-2945-4016-975e-8b25660682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niester+OR+Dniestr+OR+Sere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95" Type="http://schemas.openxmlformats.org/officeDocument/2006/relationships/hyperlink" Target="https://advance-lexis-com.ezproxy.library.tufts.edu/search/?pdmfid=1516831&amp;crid=e74ae721-8912-4969-87b5-2fab8e37572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uba+OR+Shibeli+OR+Baua+OR+Daketa+OR+Fafen+OR+Genale+OR+Jerer+OR+Ramis+OR+T%27er+OR+Wabe+Gestro+OR+Wabe+Shebele+OR+Welmel+OR+Dawa+OR+Madax+Gooy+OR+Webi+Shabell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3450c861-2b6a-4fb9-9693-033ae8d8a687" TargetMode="External"/><Relationship Id="rId160" Type="http://schemas.openxmlformats.org/officeDocument/2006/relationships/hyperlink" Target="https://advance-lexis-com.ezproxy.library.tufts.edu/search/?pdmfid=1516831&amp;crid=57da4d69-616b-47e6-a103-1f999518384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enne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16" Type="http://schemas.openxmlformats.org/officeDocument/2006/relationships/hyperlink" Target="https://advance-lexis-com.ezproxy.library.tufts.edu/search/?pdmfid=1516831&amp;crid=53499b89-d6f6-4e20-95d3-6d30b485ebd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ritsa+OR+Ovtcharitza+OR+Skender+de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58" Type="http://schemas.openxmlformats.org/officeDocument/2006/relationships/hyperlink" Target="https://advance-lexis-com.ezproxy.library.tufts.edu/search/?pdmfid=1516831&amp;crid=3dfa2d64-978e-4470-803a-03b6cbbce7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rat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 Id="rId22" Type="http://schemas.openxmlformats.org/officeDocument/2006/relationships/hyperlink" Target="https://advance-lexis-com.ezproxy.library.tufts.edu/search/?pdmfid=1516831&amp;crid=5dc9bed7-72da-422c-888a-5cee75f5c2c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negal+OR+Bafing+OR+Bakoye+OR+Baoule+OR+Karakoro+OR+Kolimbine+OR+Ouadou+OR+Gorgol+Blanc)+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TargetMode="External"/><Relationship Id="rId64" Type="http://schemas.openxmlformats.org/officeDocument/2006/relationships/hyperlink" Target="https://advance-lexis-com.ezproxy.library.tufts.edu/search/?pdmfid=1516831&amp;crid=b1b69dc8-f92e-4efb-9e30-d7acd3d4019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Ma)+OR+He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8220;water+resistant&#8221;+OR+&#8220;water+bath&#8221;+)&amp;pdsearchtype=SearchBox&amp;pdtypeofsearch=searchboxclick&amp;pdsf=&amp;pdquerytemplateid=&amp;pdtimeline=undefined%7Calldates&amp;pdfromadvancedsearchpage=true&amp;ecomp=qxLg9kk&amp;earg=pdpsf&amp;prid=957e6eea-1dfb-4eff-b3a6-3d2c7c77fbac" TargetMode="External"/><Relationship Id="rId118" Type="http://schemas.openxmlformats.org/officeDocument/2006/relationships/hyperlink" Target="https://advance-lexis-com.ezproxy.library.tufts.edu/search/?pdmfid=1516831&amp;crid=92b2a1b4-db1b-411e-8c2e-920b95ed23d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171" Type="http://schemas.openxmlformats.org/officeDocument/2006/relationships/hyperlink" Target="https://advance-lexis-com.ezproxy.library.tufts.edu/search/?pdmfid=1516831&amp;crid=b3a3964b-15fb-4936-b966-4a9e1be8bf7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amun+I+Mashkel+OR+Raksh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TargetMode="External"/><Relationship Id="rId227" Type="http://schemas.openxmlformats.org/officeDocument/2006/relationships/hyperlink" Target="https://advance-lexis-com.ezproxy.library.tufts.edu/search/?pdmfid=1516831&amp;crid=c18b9c41-18d1-4b65-bb21-24b8c0b3d9d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der+OR+Lobnicky+potok+OR+Moravice+OR+Barycz+OR+Bobr+OR+Grabia+OR+Kwisa+OR+Matd+Panew+OR+Neisse+OR+Nysaluzyckn+OR+Neris+OR+Notec+OR+Nysa+Klodzka+OR+Obra+OR+Odra+OR+Pliszka+OR+Prosna+OR+Warta+OR+Watna+OR+Widaw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D2B47-6BEA-43EA-B029-C30AFD6DB4F4}">
  <sheetPr>
    <tabColor theme="9" tint="0.39997558519241921"/>
  </sheetPr>
  <dimension ref="A1:AB990"/>
  <sheetViews>
    <sheetView topLeftCell="D1" zoomScale="90" zoomScaleNormal="90" workbookViewId="0">
      <selection activeCell="D2" sqref="D2"/>
    </sheetView>
  </sheetViews>
  <sheetFormatPr baseColWidth="10" defaultColWidth="14.5" defaultRowHeight="15" customHeight="1" x14ac:dyDescent="0.2"/>
  <cols>
    <col min="1" max="2" width="18" customWidth="1"/>
    <col min="3" max="3" width="40.5" customWidth="1"/>
    <col min="4" max="4" width="108.5" style="37" customWidth="1"/>
    <col min="5" max="5" width="17.6640625" customWidth="1"/>
    <col min="6" max="6" width="14.6640625" customWidth="1"/>
    <col min="7" max="7" width="24.6640625" hidden="1" customWidth="1"/>
    <col min="8" max="8" width="23" customWidth="1"/>
    <col min="9" max="9" width="20" customWidth="1"/>
    <col min="10" max="11" width="19.5" customWidth="1"/>
    <col min="12" max="12" width="27.6640625" customWidth="1"/>
    <col min="13" max="28" width="8.6640625" customWidth="1"/>
  </cols>
  <sheetData>
    <row r="1" spans="1:28" ht="112" x14ac:dyDescent="0.2">
      <c r="A1" s="68"/>
      <c r="B1" s="12" t="s">
        <v>23</v>
      </c>
      <c r="C1" s="13" t="s">
        <v>24</v>
      </c>
      <c r="D1" s="77" t="s">
        <v>1463</v>
      </c>
      <c r="E1" s="2" t="s">
        <v>25</v>
      </c>
      <c r="F1" s="2" t="s">
        <v>26</v>
      </c>
      <c r="G1" s="2" t="s">
        <v>27</v>
      </c>
      <c r="H1" s="43" t="s">
        <v>28</v>
      </c>
      <c r="I1" s="44" t="s">
        <v>29</v>
      </c>
      <c r="J1" s="14" t="s">
        <v>30</v>
      </c>
      <c r="K1" s="14" t="s">
        <v>31</v>
      </c>
      <c r="L1" s="14" t="s">
        <v>32</v>
      </c>
      <c r="M1" s="1">
        <f>COUNTIF(H2:H315,"Y (15 July 2022)")</f>
        <v>178</v>
      </c>
      <c r="N1" s="1"/>
      <c r="O1" s="1"/>
      <c r="P1" s="1"/>
      <c r="Q1" s="1"/>
      <c r="R1" s="1"/>
      <c r="S1" s="1"/>
      <c r="T1" s="1"/>
      <c r="U1" s="1"/>
      <c r="V1" s="1"/>
      <c r="W1" s="1"/>
      <c r="X1" s="1"/>
      <c r="Y1" s="1"/>
      <c r="Z1" s="1"/>
      <c r="AA1" s="1"/>
      <c r="AB1" s="1"/>
    </row>
    <row r="2" spans="1:28" ht="14.25" customHeight="1" x14ac:dyDescent="0.2">
      <c r="A2" s="72"/>
      <c r="B2" s="32">
        <v>1</v>
      </c>
      <c r="C2" s="6" t="s">
        <v>24</v>
      </c>
      <c r="D2" s="15" t="s">
        <v>33</v>
      </c>
      <c r="E2" s="15" t="s">
        <v>34</v>
      </c>
      <c r="F2" s="15" t="s">
        <v>33</v>
      </c>
      <c r="G2" s="16" t="s">
        <v>35</v>
      </c>
      <c r="H2" s="16" t="s">
        <v>36</v>
      </c>
      <c r="I2" s="16" t="s">
        <v>37</v>
      </c>
      <c r="J2" s="15" t="s">
        <v>36</v>
      </c>
      <c r="K2" s="15" t="s">
        <v>37</v>
      </c>
      <c r="L2" s="15"/>
      <c r="M2" s="1"/>
      <c r="N2" s="1"/>
      <c r="O2" s="1"/>
      <c r="P2" s="1"/>
      <c r="Q2" s="1"/>
      <c r="R2" s="1"/>
      <c r="S2" s="1"/>
      <c r="T2" s="1"/>
      <c r="U2" s="1"/>
      <c r="V2" s="1"/>
      <c r="W2" s="1"/>
      <c r="X2" s="1"/>
      <c r="Y2" s="1"/>
      <c r="Z2" s="1"/>
      <c r="AA2" s="1"/>
      <c r="AB2" s="1"/>
    </row>
    <row r="3" spans="1:28" ht="14.25" customHeight="1" x14ac:dyDescent="0.2">
      <c r="A3" s="72"/>
      <c r="B3" s="17">
        <v>2</v>
      </c>
      <c r="C3" s="6" t="s">
        <v>24</v>
      </c>
      <c r="D3" s="6" t="s">
        <v>38</v>
      </c>
      <c r="E3" s="15" t="s">
        <v>39</v>
      </c>
      <c r="F3" s="15" t="s">
        <v>38</v>
      </c>
      <c r="G3" s="16" t="s">
        <v>35</v>
      </c>
      <c r="H3" s="16" t="s">
        <v>40</v>
      </c>
      <c r="I3" s="16" t="s">
        <v>37</v>
      </c>
      <c r="J3" s="15" t="s">
        <v>36</v>
      </c>
      <c r="K3" s="15" t="s">
        <v>37</v>
      </c>
      <c r="L3" s="15"/>
      <c r="M3" s="1"/>
      <c r="N3" s="1"/>
      <c r="O3" s="1"/>
      <c r="P3" s="1"/>
      <c r="Q3" s="1"/>
      <c r="R3" s="1"/>
      <c r="S3" s="1"/>
      <c r="T3" s="1"/>
      <c r="U3" s="1"/>
      <c r="V3" s="1"/>
      <c r="W3" s="1"/>
      <c r="X3" s="1"/>
      <c r="Y3" s="1"/>
      <c r="Z3" s="1"/>
      <c r="AA3" s="1"/>
      <c r="AB3" s="1"/>
    </row>
    <row r="4" spans="1:28" ht="14.25" customHeight="1" x14ac:dyDescent="0.2">
      <c r="A4" s="72"/>
      <c r="B4" s="17">
        <v>3</v>
      </c>
      <c r="C4" s="6" t="s">
        <v>24</v>
      </c>
      <c r="D4" s="6" t="s">
        <v>41</v>
      </c>
      <c r="E4" s="15" t="s">
        <v>42</v>
      </c>
      <c r="F4" s="15" t="s">
        <v>41</v>
      </c>
      <c r="G4" s="16" t="s">
        <v>35</v>
      </c>
      <c r="H4" s="16" t="s">
        <v>40</v>
      </c>
      <c r="I4" s="16" t="s">
        <v>37</v>
      </c>
      <c r="J4" s="15" t="s">
        <v>36</v>
      </c>
      <c r="K4" s="15" t="s">
        <v>37</v>
      </c>
      <c r="L4" s="15"/>
      <c r="M4" s="1"/>
      <c r="N4" s="1"/>
      <c r="O4" s="1"/>
      <c r="P4" s="1"/>
      <c r="Q4" s="1"/>
      <c r="R4" s="1"/>
      <c r="S4" s="1"/>
      <c r="T4" s="1"/>
      <c r="U4" s="1"/>
      <c r="V4" s="1"/>
      <c r="W4" s="1"/>
      <c r="X4" s="1"/>
      <c r="Y4" s="1"/>
      <c r="Z4" s="1"/>
      <c r="AA4" s="1"/>
      <c r="AB4" s="1"/>
    </row>
    <row r="5" spans="1:28" ht="14.25" customHeight="1" x14ac:dyDescent="0.2">
      <c r="A5" s="72"/>
      <c r="B5" s="17">
        <v>4</v>
      </c>
      <c r="C5" s="6" t="s">
        <v>24</v>
      </c>
      <c r="D5" s="6" t="s">
        <v>43</v>
      </c>
      <c r="E5" s="15" t="s">
        <v>44</v>
      </c>
      <c r="F5" s="15" t="s">
        <v>45</v>
      </c>
      <c r="G5" s="16" t="s">
        <v>35</v>
      </c>
      <c r="H5" s="16" t="s">
        <v>40</v>
      </c>
      <c r="I5" s="16" t="s">
        <v>37</v>
      </c>
      <c r="J5" s="15" t="s">
        <v>36</v>
      </c>
      <c r="K5" s="15" t="s">
        <v>37</v>
      </c>
      <c r="L5" s="15"/>
      <c r="M5" s="1"/>
      <c r="N5" s="1"/>
      <c r="O5" s="1"/>
      <c r="P5" s="1"/>
      <c r="Q5" s="1"/>
      <c r="R5" s="1"/>
      <c r="S5" s="1"/>
      <c r="T5" s="1"/>
      <c r="U5" s="1"/>
      <c r="V5" s="1"/>
      <c r="W5" s="1"/>
      <c r="X5" s="1"/>
      <c r="Y5" s="1"/>
      <c r="Z5" s="1"/>
      <c r="AA5" s="1"/>
      <c r="AB5" s="1"/>
    </row>
    <row r="6" spans="1:28" ht="14.25" customHeight="1" x14ac:dyDescent="0.2">
      <c r="A6" s="72"/>
      <c r="B6" s="17">
        <v>5</v>
      </c>
      <c r="C6" s="6" t="s">
        <v>24</v>
      </c>
      <c r="D6" s="6" t="s">
        <v>46</v>
      </c>
      <c r="E6" s="15" t="s">
        <v>47</v>
      </c>
      <c r="F6" s="15" t="s">
        <v>46</v>
      </c>
      <c r="G6" s="16" t="s">
        <v>35</v>
      </c>
      <c r="H6" s="16" t="s">
        <v>40</v>
      </c>
      <c r="I6" s="16" t="s">
        <v>37</v>
      </c>
      <c r="J6" s="15" t="s">
        <v>36</v>
      </c>
      <c r="K6" s="15" t="s">
        <v>37</v>
      </c>
      <c r="L6" s="15"/>
      <c r="M6" s="1"/>
      <c r="N6" s="1"/>
      <c r="O6" s="1"/>
      <c r="P6" s="1"/>
      <c r="Q6" s="1"/>
      <c r="R6" s="1"/>
      <c r="S6" s="1"/>
      <c r="T6" s="1"/>
      <c r="U6" s="1"/>
      <c r="V6" s="1"/>
      <c r="W6" s="1"/>
      <c r="X6" s="1"/>
      <c r="Y6" s="1"/>
      <c r="Z6" s="1"/>
      <c r="AA6" s="1"/>
      <c r="AB6" s="1"/>
    </row>
    <row r="7" spans="1:28" ht="14.25" customHeight="1" x14ac:dyDescent="0.2">
      <c r="A7" s="72"/>
      <c r="B7" s="17">
        <v>6</v>
      </c>
      <c r="C7" s="6" t="s">
        <v>24</v>
      </c>
      <c r="D7" s="18" t="s">
        <v>48</v>
      </c>
      <c r="E7" s="15" t="s">
        <v>49</v>
      </c>
      <c r="F7" s="15" t="s">
        <v>50</v>
      </c>
      <c r="G7" s="16" t="s">
        <v>35</v>
      </c>
      <c r="H7" s="16" t="s">
        <v>51</v>
      </c>
      <c r="I7" s="16" t="s">
        <v>52</v>
      </c>
      <c r="J7" s="15" t="s">
        <v>51</v>
      </c>
      <c r="K7" s="15" t="s">
        <v>52</v>
      </c>
      <c r="L7" s="15" t="s">
        <v>53</v>
      </c>
      <c r="M7" s="1"/>
      <c r="N7" s="1"/>
      <c r="O7" s="1"/>
      <c r="P7" s="1"/>
      <c r="Q7" s="1"/>
      <c r="R7" s="1"/>
      <c r="S7" s="1"/>
      <c r="T7" s="1"/>
      <c r="U7" s="1"/>
      <c r="V7" s="1"/>
      <c r="W7" s="1"/>
      <c r="X7" s="1"/>
      <c r="Y7" s="1"/>
      <c r="Z7" s="1"/>
      <c r="AA7" s="1"/>
      <c r="AB7" s="1"/>
    </row>
    <row r="8" spans="1:28" ht="14.25" customHeight="1" x14ac:dyDescent="0.2">
      <c r="A8" s="72"/>
      <c r="B8" s="17">
        <v>7</v>
      </c>
      <c r="C8" s="6" t="s">
        <v>24</v>
      </c>
      <c r="D8" s="18" t="s">
        <v>54</v>
      </c>
      <c r="E8" s="15" t="s">
        <v>55</v>
      </c>
      <c r="F8" s="15" t="s">
        <v>56</v>
      </c>
      <c r="G8" s="16" t="s">
        <v>57</v>
      </c>
      <c r="H8" s="16" t="s">
        <v>51</v>
      </c>
      <c r="I8" s="16" t="s">
        <v>52</v>
      </c>
      <c r="J8" s="15" t="s">
        <v>51</v>
      </c>
      <c r="K8" s="15" t="s">
        <v>52</v>
      </c>
      <c r="L8" s="15" t="s">
        <v>53</v>
      </c>
      <c r="M8" s="1"/>
      <c r="N8" s="1"/>
      <c r="O8" s="1"/>
      <c r="P8" s="1"/>
      <c r="Q8" s="1"/>
      <c r="R8" s="1"/>
      <c r="S8" s="1"/>
      <c r="T8" s="1"/>
      <c r="U8" s="1"/>
      <c r="V8" s="1"/>
      <c r="W8" s="1"/>
      <c r="X8" s="1"/>
      <c r="Y8" s="1"/>
      <c r="Z8" s="1"/>
      <c r="AA8" s="1"/>
      <c r="AB8" s="1"/>
    </row>
    <row r="9" spans="1:28" ht="14.25" customHeight="1" x14ac:dyDescent="0.2">
      <c r="A9" s="72"/>
      <c r="B9" s="17">
        <v>8</v>
      </c>
      <c r="C9" s="6" t="s">
        <v>24</v>
      </c>
      <c r="D9" s="6" t="s">
        <v>58</v>
      </c>
      <c r="E9" s="15" t="s">
        <v>59</v>
      </c>
      <c r="F9" s="15" t="s">
        <v>60</v>
      </c>
      <c r="G9" s="16" t="s">
        <v>35</v>
      </c>
      <c r="H9" s="16" t="s">
        <v>40</v>
      </c>
      <c r="I9" s="16" t="s">
        <v>37</v>
      </c>
      <c r="J9" s="15" t="s">
        <v>36</v>
      </c>
      <c r="K9" s="15" t="s">
        <v>37</v>
      </c>
      <c r="L9" s="15"/>
      <c r="M9" s="1"/>
      <c r="N9" s="1"/>
      <c r="O9" s="1"/>
      <c r="P9" s="1"/>
      <c r="Q9" s="1"/>
      <c r="R9" s="1"/>
      <c r="S9" s="1"/>
      <c r="T9" s="1"/>
      <c r="U9" s="1"/>
      <c r="V9" s="1"/>
      <c r="W9" s="1"/>
      <c r="X9" s="1"/>
      <c r="Y9" s="1"/>
      <c r="Z9" s="1"/>
      <c r="AA9" s="1"/>
      <c r="AB9" s="1"/>
    </row>
    <row r="10" spans="1:28" ht="14.25" customHeight="1" x14ac:dyDescent="0.2">
      <c r="A10" s="72"/>
      <c r="B10" s="17">
        <v>9</v>
      </c>
      <c r="C10" s="6" t="s">
        <v>24</v>
      </c>
      <c r="D10" s="6" t="s">
        <v>61</v>
      </c>
      <c r="E10" s="15" t="s">
        <v>62</v>
      </c>
      <c r="F10" s="15" t="s">
        <v>61</v>
      </c>
      <c r="G10" s="16" t="s">
        <v>35</v>
      </c>
      <c r="H10" s="16" t="s">
        <v>40</v>
      </c>
      <c r="I10" s="16" t="s">
        <v>37</v>
      </c>
      <c r="J10" s="15" t="s">
        <v>36</v>
      </c>
      <c r="K10" s="15" t="s">
        <v>37</v>
      </c>
      <c r="L10" s="15"/>
      <c r="M10" s="1"/>
      <c r="N10" s="1"/>
      <c r="O10" s="1"/>
      <c r="P10" s="1"/>
      <c r="Q10" s="1"/>
      <c r="R10" s="1"/>
      <c r="S10" s="1"/>
      <c r="T10" s="1"/>
      <c r="U10" s="1"/>
      <c r="V10" s="1"/>
      <c r="W10" s="1"/>
      <c r="X10" s="1"/>
      <c r="Y10" s="1"/>
      <c r="Z10" s="1"/>
      <c r="AA10" s="1"/>
      <c r="AB10" s="1"/>
    </row>
    <row r="11" spans="1:28" ht="14.25" customHeight="1" x14ac:dyDescent="0.2">
      <c r="A11" s="72"/>
      <c r="B11" s="17">
        <v>10</v>
      </c>
      <c r="C11" s="6" t="s">
        <v>24</v>
      </c>
      <c r="D11" s="6" t="s">
        <v>63</v>
      </c>
      <c r="E11" s="15" t="s">
        <v>64</v>
      </c>
      <c r="F11" s="15" t="s">
        <v>63</v>
      </c>
      <c r="G11" s="16" t="s">
        <v>65</v>
      </c>
      <c r="H11" s="16" t="s">
        <v>51</v>
      </c>
      <c r="I11" s="16" t="s">
        <v>52</v>
      </c>
      <c r="J11" s="15" t="s">
        <v>51</v>
      </c>
      <c r="K11" s="15" t="s">
        <v>52</v>
      </c>
      <c r="L11" s="15" t="s">
        <v>66</v>
      </c>
      <c r="M11" s="1"/>
      <c r="N11" s="1"/>
      <c r="O11" s="1"/>
      <c r="P11" s="1"/>
      <c r="Q11" s="1"/>
      <c r="R11" s="1"/>
      <c r="S11" s="1"/>
      <c r="T11" s="1"/>
      <c r="U11" s="1"/>
      <c r="V11" s="1"/>
      <c r="W11" s="1"/>
      <c r="X11" s="1"/>
      <c r="Y11" s="1"/>
      <c r="Z11" s="1"/>
      <c r="AA11" s="1"/>
      <c r="AB11" s="1"/>
    </row>
    <row r="12" spans="1:28" ht="14.25" customHeight="1" x14ac:dyDescent="0.2">
      <c r="A12" s="72"/>
      <c r="B12" s="17">
        <v>11</v>
      </c>
      <c r="C12" s="6" t="s">
        <v>24</v>
      </c>
      <c r="D12" s="18" t="s">
        <v>67</v>
      </c>
      <c r="E12" s="15" t="s">
        <v>68</v>
      </c>
      <c r="F12" s="15" t="s">
        <v>69</v>
      </c>
      <c r="G12" s="16" t="s">
        <v>57</v>
      </c>
      <c r="H12" s="16" t="s">
        <v>36</v>
      </c>
      <c r="I12" s="16" t="s">
        <v>37</v>
      </c>
      <c r="J12" s="15" t="s">
        <v>37</v>
      </c>
      <c r="K12" s="15" t="s">
        <v>37</v>
      </c>
      <c r="L12" s="15"/>
      <c r="M12" s="1"/>
      <c r="N12" s="1"/>
      <c r="O12" s="1"/>
      <c r="P12" s="1"/>
      <c r="Q12" s="1"/>
      <c r="R12" s="1"/>
      <c r="S12" s="1"/>
      <c r="T12" s="1"/>
      <c r="U12" s="1"/>
      <c r="V12" s="1"/>
      <c r="W12" s="1"/>
      <c r="X12" s="1"/>
      <c r="Y12" s="1"/>
      <c r="Z12" s="1"/>
      <c r="AA12" s="1"/>
      <c r="AB12" s="1"/>
    </row>
    <row r="13" spans="1:28" ht="14.25" customHeight="1" x14ac:dyDescent="0.2">
      <c r="A13" s="72"/>
      <c r="B13" s="17">
        <v>12</v>
      </c>
      <c r="C13" s="6" t="s">
        <v>24</v>
      </c>
      <c r="D13" s="18" t="s">
        <v>70</v>
      </c>
      <c r="E13" s="15" t="s">
        <v>71</v>
      </c>
      <c r="F13" s="15" t="s">
        <v>72</v>
      </c>
      <c r="G13" s="16" t="s">
        <v>57</v>
      </c>
      <c r="H13" s="16" t="s">
        <v>36</v>
      </c>
      <c r="I13" s="16" t="s">
        <v>37</v>
      </c>
      <c r="J13" s="15" t="s">
        <v>51</v>
      </c>
      <c r="K13" s="15" t="s">
        <v>51</v>
      </c>
      <c r="L13" s="15"/>
      <c r="M13" s="1"/>
      <c r="N13" s="1"/>
      <c r="O13" s="1"/>
      <c r="P13" s="1"/>
      <c r="Q13" s="1"/>
      <c r="R13" s="1"/>
      <c r="S13" s="1"/>
      <c r="T13" s="1"/>
      <c r="U13" s="1"/>
      <c r="V13" s="1"/>
      <c r="W13" s="1"/>
      <c r="X13" s="1"/>
      <c r="Y13" s="1"/>
      <c r="Z13" s="1"/>
      <c r="AA13" s="1"/>
      <c r="AB13" s="1"/>
    </row>
    <row r="14" spans="1:28" ht="14.25" customHeight="1" x14ac:dyDescent="0.2">
      <c r="A14" s="72"/>
      <c r="B14" s="17">
        <v>13</v>
      </c>
      <c r="C14" s="6" t="s">
        <v>24</v>
      </c>
      <c r="D14" s="6" t="s">
        <v>73</v>
      </c>
      <c r="E14" s="15" t="s">
        <v>74</v>
      </c>
      <c r="F14" s="15" t="s">
        <v>75</v>
      </c>
      <c r="G14" s="16" t="s">
        <v>35</v>
      </c>
      <c r="H14" s="16" t="s">
        <v>40</v>
      </c>
      <c r="I14" s="16" t="s">
        <v>37</v>
      </c>
      <c r="J14" s="15" t="s">
        <v>36</v>
      </c>
      <c r="K14" s="15" t="s">
        <v>51</v>
      </c>
      <c r="L14" s="15"/>
      <c r="M14" s="1"/>
      <c r="N14" s="1"/>
      <c r="O14" s="1"/>
      <c r="P14" s="1"/>
      <c r="Q14" s="1"/>
      <c r="R14" s="1"/>
      <c r="S14" s="1"/>
      <c r="T14" s="1"/>
      <c r="U14" s="1"/>
      <c r="V14" s="1"/>
      <c r="W14" s="1"/>
      <c r="X14" s="1"/>
      <c r="Y14" s="1"/>
      <c r="Z14" s="1"/>
      <c r="AA14" s="1"/>
      <c r="AB14" s="1"/>
    </row>
    <row r="15" spans="1:28" ht="14.25" customHeight="1" x14ac:dyDescent="0.2">
      <c r="A15" s="72"/>
      <c r="B15" s="17">
        <v>14</v>
      </c>
      <c r="C15" s="6" t="s">
        <v>24</v>
      </c>
      <c r="D15" s="6" t="s">
        <v>76</v>
      </c>
      <c r="E15" s="15" t="s">
        <v>77</v>
      </c>
      <c r="F15" s="15" t="s">
        <v>76</v>
      </c>
      <c r="G15" s="16" t="s">
        <v>35</v>
      </c>
      <c r="H15" s="16" t="s">
        <v>36</v>
      </c>
      <c r="I15" s="16" t="s">
        <v>37</v>
      </c>
      <c r="J15" s="15" t="s">
        <v>36</v>
      </c>
      <c r="K15" s="15" t="s">
        <v>51</v>
      </c>
      <c r="L15" s="15"/>
      <c r="M15" s="1"/>
      <c r="N15" s="1"/>
      <c r="O15" s="1"/>
      <c r="P15" s="1"/>
      <c r="Q15" s="1"/>
      <c r="R15" s="1"/>
      <c r="S15" s="1"/>
      <c r="T15" s="1"/>
      <c r="U15" s="1"/>
      <c r="V15" s="1"/>
      <c r="W15" s="1"/>
      <c r="X15" s="1"/>
      <c r="Y15" s="1"/>
      <c r="Z15" s="1"/>
      <c r="AA15" s="1"/>
      <c r="AB15" s="1"/>
    </row>
    <row r="16" spans="1:28" ht="14.25" customHeight="1" x14ac:dyDescent="0.2">
      <c r="A16" s="72"/>
      <c r="B16" s="17">
        <v>15</v>
      </c>
      <c r="C16" s="6" t="s">
        <v>24</v>
      </c>
      <c r="D16" s="6" t="s">
        <v>78</v>
      </c>
      <c r="E16" s="15" t="s">
        <v>79</v>
      </c>
      <c r="F16" s="15" t="s">
        <v>80</v>
      </c>
      <c r="G16" s="16" t="s">
        <v>35</v>
      </c>
      <c r="H16" s="16" t="s">
        <v>36</v>
      </c>
      <c r="I16" s="16" t="s">
        <v>37</v>
      </c>
      <c r="J16" s="15" t="s">
        <v>36</v>
      </c>
      <c r="K16" s="15" t="s">
        <v>51</v>
      </c>
      <c r="L16" s="15"/>
      <c r="M16" s="1"/>
      <c r="N16" s="1"/>
      <c r="O16" s="1"/>
      <c r="P16" s="1"/>
      <c r="Q16" s="1"/>
      <c r="R16" s="1"/>
      <c r="S16" s="1"/>
      <c r="T16" s="1"/>
      <c r="U16" s="1"/>
      <c r="V16" s="1"/>
      <c r="W16" s="1"/>
      <c r="X16" s="1"/>
      <c r="Y16" s="1"/>
      <c r="Z16" s="1"/>
      <c r="AA16" s="1"/>
      <c r="AB16" s="1"/>
    </row>
    <row r="17" spans="1:28" ht="14.25" customHeight="1" x14ac:dyDescent="0.2">
      <c r="A17" s="72"/>
      <c r="B17" s="17">
        <v>16</v>
      </c>
      <c r="C17" s="6" t="s">
        <v>24</v>
      </c>
      <c r="D17" s="6" t="s">
        <v>81</v>
      </c>
      <c r="E17" s="15" t="s">
        <v>82</v>
      </c>
      <c r="F17" s="15" t="s">
        <v>81</v>
      </c>
      <c r="G17" s="16" t="s">
        <v>35</v>
      </c>
      <c r="H17" s="16" t="s">
        <v>36</v>
      </c>
      <c r="I17" s="16" t="s">
        <v>37</v>
      </c>
      <c r="J17" s="15" t="s">
        <v>36</v>
      </c>
      <c r="K17" s="15" t="s">
        <v>51</v>
      </c>
      <c r="L17" s="15"/>
      <c r="M17" s="1"/>
      <c r="N17" s="1"/>
      <c r="O17" s="1"/>
      <c r="P17" s="1"/>
      <c r="Q17" s="1"/>
      <c r="R17" s="1"/>
      <c r="S17" s="1"/>
      <c r="T17" s="1"/>
      <c r="U17" s="1"/>
      <c r="V17" s="1"/>
      <c r="W17" s="1"/>
      <c r="X17" s="1"/>
      <c r="Y17" s="1"/>
      <c r="Z17" s="1"/>
      <c r="AA17" s="1"/>
      <c r="AB17" s="1"/>
    </row>
    <row r="18" spans="1:28" ht="14.25" customHeight="1" x14ac:dyDescent="0.2">
      <c r="A18" s="72"/>
      <c r="B18" s="17">
        <v>17</v>
      </c>
      <c r="C18" s="6" t="s">
        <v>24</v>
      </c>
      <c r="D18" s="18" t="s">
        <v>83</v>
      </c>
      <c r="E18" s="15" t="s">
        <v>84</v>
      </c>
      <c r="F18" s="15" t="s">
        <v>85</v>
      </c>
      <c r="G18" s="16" t="s">
        <v>57</v>
      </c>
      <c r="H18" s="16" t="s">
        <v>36</v>
      </c>
      <c r="I18" s="16" t="s">
        <v>37</v>
      </c>
      <c r="J18" s="15" t="s">
        <v>51</v>
      </c>
      <c r="K18" s="15" t="s">
        <v>51</v>
      </c>
      <c r="L18" s="15"/>
      <c r="M18" s="1"/>
      <c r="N18" s="1"/>
      <c r="O18" s="1"/>
      <c r="P18" s="1"/>
      <c r="Q18" s="1"/>
      <c r="R18" s="1"/>
      <c r="S18" s="1"/>
      <c r="T18" s="1"/>
      <c r="U18" s="1"/>
      <c r="V18" s="1"/>
      <c r="W18" s="1"/>
      <c r="X18" s="1"/>
      <c r="Y18" s="1"/>
      <c r="Z18" s="1"/>
      <c r="AA18" s="1"/>
      <c r="AB18" s="1"/>
    </row>
    <row r="19" spans="1:28" ht="14.25" customHeight="1" x14ac:dyDescent="0.2">
      <c r="A19" s="72"/>
      <c r="B19" s="17">
        <v>18</v>
      </c>
      <c r="C19" s="6" t="s">
        <v>24</v>
      </c>
      <c r="D19" s="6" t="s">
        <v>86</v>
      </c>
      <c r="E19" s="15" t="s">
        <v>87</v>
      </c>
      <c r="F19" s="15" t="s">
        <v>86</v>
      </c>
      <c r="G19" s="16" t="s">
        <v>35</v>
      </c>
      <c r="H19" s="16" t="s">
        <v>36</v>
      </c>
      <c r="I19" s="16" t="s">
        <v>37</v>
      </c>
      <c r="J19" s="15" t="s">
        <v>36</v>
      </c>
      <c r="K19" s="15" t="s">
        <v>51</v>
      </c>
      <c r="L19" s="15"/>
      <c r="M19" s="1"/>
      <c r="N19" s="1"/>
      <c r="O19" s="1"/>
      <c r="P19" s="1"/>
      <c r="Q19" s="1"/>
      <c r="R19" s="1"/>
      <c r="S19" s="1"/>
      <c r="T19" s="1"/>
      <c r="U19" s="1"/>
      <c r="V19" s="1"/>
      <c r="W19" s="1"/>
      <c r="X19" s="1"/>
      <c r="Y19" s="1"/>
      <c r="Z19" s="1"/>
      <c r="AA19" s="1"/>
      <c r="AB19" s="1"/>
    </row>
    <row r="20" spans="1:28" ht="14.25" customHeight="1" x14ac:dyDescent="0.2">
      <c r="A20" s="72"/>
      <c r="B20" s="17">
        <v>19</v>
      </c>
      <c r="C20" s="6" t="s">
        <v>24</v>
      </c>
      <c r="D20" s="6" t="s">
        <v>88</v>
      </c>
      <c r="E20" s="15" t="s">
        <v>89</v>
      </c>
      <c r="F20" s="15" t="s">
        <v>90</v>
      </c>
      <c r="G20" s="16" t="s">
        <v>35</v>
      </c>
      <c r="H20" s="16" t="s">
        <v>51</v>
      </c>
      <c r="I20" s="16" t="s">
        <v>52</v>
      </c>
      <c r="J20" s="15" t="s">
        <v>51</v>
      </c>
      <c r="K20" s="15" t="s">
        <v>52</v>
      </c>
      <c r="L20" s="15" t="s">
        <v>53</v>
      </c>
      <c r="M20" s="1"/>
      <c r="N20" s="1"/>
      <c r="O20" s="1"/>
      <c r="P20" s="1"/>
      <c r="Q20" s="1"/>
      <c r="R20" s="1"/>
      <c r="S20" s="1"/>
      <c r="T20" s="1"/>
      <c r="U20" s="1"/>
      <c r="V20" s="1"/>
      <c r="W20" s="1"/>
      <c r="X20" s="1"/>
      <c r="Y20" s="1"/>
      <c r="Z20" s="1"/>
      <c r="AA20" s="1"/>
      <c r="AB20" s="1"/>
    </row>
    <row r="21" spans="1:28" ht="14.25" customHeight="1" x14ac:dyDescent="0.2">
      <c r="A21" s="72"/>
      <c r="B21" s="17">
        <v>20</v>
      </c>
      <c r="C21" s="6" t="s">
        <v>24</v>
      </c>
      <c r="D21" s="6" t="s">
        <v>91</v>
      </c>
      <c r="E21" s="15" t="s">
        <v>92</v>
      </c>
      <c r="F21" s="15" t="s">
        <v>93</v>
      </c>
      <c r="G21" s="16" t="s">
        <v>57</v>
      </c>
      <c r="H21" s="16" t="s">
        <v>37</v>
      </c>
      <c r="I21" s="16" t="s">
        <v>52</v>
      </c>
      <c r="J21" s="15" t="s">
        <v>51</v>
      </c>
      <c r="K21" s="15" t="s">
        <v>52</v>
      </c>
      <c r="L21" s="15"/>
      <c r="M21" s="1"/>
      <c r="N21" s="1"/>
      <c r="O21" s="1"/>
      <c r="P21" s="1"/>
      <c r="Q21" s="1"/>
      <c r="R21" s="1"/>
      <c r="S21" s="1"/>
      <c r="T21" s="1"/>
      <c r="U21" s="1"/>
      <c r="V21" s="1"/>
      <c r="W21" s="1"/>
      <c r="X21" s="1"/>
      <c r="Y21" s="1"/>
      <c r="Z21" s="1"/>
      <c r="AA21" s="1"/>
      <c r="AB21" s="1"/>
    </row>
    <row r="22" spans="1:28" ht="14.25" customHeight="1" x14ac:dyDescent="0.2">
      <c r="A22" s="72"/>
      <c r="B22" s="17">
        <v>21</v>
      </c>
      <c r="C22" s="6" t="s">
        <v>24</v>
      </c>
      <c r="D22" s="6" t="s">
        <v>94</v>
      </c>
      <c r="E22" s="15" t="s">
        <v>95</v>
      </c>
      <c r="F22" s="15" t="s">
        <v>94</v>
      </c>
      <c r="G22" s="16" t="s">
        <v>35</v>
      </c>
      <c r="H22" s="16" t="s">
        <v>36</v>
      </c>
      <c r="I22" s="16" t="s">
        <v>37</v>
      </c>
      <c r="J22" s="15" t="s">
        <v>36</v>
      </c>
      <c r="K22" s="15" t="s">
        <v>51</v>
      </c>
      <c r="L22" s="15"/>
      <c r="M22" s="1"/>
      <c r="N22" s="1"/>
      <c r="O22" s="1"/>
      <c r="P22" s="1"/>
      <c r="Q22" s="1"/>
      <c r="R22" s="1"/>
      <c r="S22" s="1"/>
      <c r="T22" s="1"/>
      <c r="U22" s="1"/>
      <c r="V22" s="1"/>
      <c r="W22" s="1"/>
      <c r="X22" s="1"/>
      <c r="Y22" s="1"/>
      <c r="Z22" s="1"/>
      <c r="AA22" s="1"/>
      <c r="AB22" s="1"/>
    </row>
    <row r="23" spans="1:28" ht="14.25" customHeight="1" x14ac:dyDescent="0.2">
      <c r="A23" s="72"/>
      <c r="B23" s="17">
        <v>22</v>
      </c>
      <c r="C23" s="6" t="s">
        <v>24</v>
      </c>
      <c r="D23" s="6" t="s">
        <v>96</v>
      </c>
      <c r="E23" s="15" t="s">
        <v>97</v>
      </c>
      <c r="F23" s="15" t="s">
        <v>96</v>
      </c>
      <c r="G23" s="16" t="s">
        <v>35</v>
      </c>
      <c r="H23" s="16" t="s">
        <v>36</v>
      </c>
      <c r="I23" s="16" t="s">
        <v>37</v>
      </c>
      <c r="J23" s="15" t="s">
        <v>36</v>
      </c>
      <c r="K23" s="15" t="s">
        <v>51</v>
      </c>
      <c r="L23" s="15"/>
      <c r="M23" s="1"/>
      <c r="N23" s="1"/>
      <c r="O23" s="1"/>
      <c r="P23" s="1"/>
      <c r="Q23" s="1"/>
      <c r="R23" s="1"/>
      <c r="S23" s="1"/>
      <c r="T23" s="1"/>
      <c r="U23" s="1"/>
      <c r="V23" s="1"/>
      <c r="W23" s="1"/>
      <c r="X23" s="1"/>
      <c r="Y23" s="1"/>
      <c r="Z23" s="1"/>
      <c r="AA23" s="1"/>
      <c r="AB23" s="1"/>
    </row>
    <row r="24" spans="1:28" ht="14.25" customHeight="1" x14ac:dyDescent="0.2">
      <c r="A24" s="72"/>
      <c r="B24" s="17">
        <v>23</v>
      </c>
      <c r="C24" s="6" t="s">
        <v>24</v>
      </c>
      <c r="D24" s="6" t="s">
        <v>98</v>
      </c>
      <c r="E24" s="15" t="s">
        <v>99</v>
      </c>
      <c r="F24" s="15" t="s">
        <v>100</v>
      </c>
      <c r="G24" s="16" t="s">
        <v>35</v>
      </c>
      <c r="H24" s="16" t="s">
        <v>51</v>
      </c>
      <c r="I24" s="16" t="s">
        <v>52</v>
      </c>
      <c r="J24" s="15" t="s">
        <v>51</v>
      </c>
      <c r="K24" s="15" t="s">
        <v>52</v>
      </c>
      <c r="L24" s="15"/>
      <c r="M24" s="1"/>
      <c r="N24" s="1"/>
      <c r="O24" s="1"/>
      <c r="P24" s="1"/>
      <c r="Q24" s="1"/>
      <c r="R24" s="1"/>
      <c r="S24" s="1"/>
      <c r="T24" s="1"/>
      <c r="U24" s="1"/>
      <c r="V24" s="1"/>
      <c r="W24" s="1"/>
      <c r="X24" s="1"/>
      <c r="Y24" s="1"/>
      <c r="Z24" s="1"/>
      <c r="AA24" s="1"/>
      <c r="AB24" s="1"/>
    </row>
    <row r="25" spans="1:28" ht="14.25" customHeight="1" x14ac:dyDescent="0.2">
      <c r="A25" s="72"/>
      <c r="B25" s="17">
        <v>24</v>
      </c>
      <c r="C25" s="6" t="s">
        <v>24</v>
      </c>
      <c r="D25" s="6" t="s">
        <v>101</v>
      </c>
      <c r="E25" s="15" t="s">
        <v>102</v>
      </c>
      <c r="F25" s="15" t="s">
        <v>101</v>
      </c>
      <c r="G25" s="16" t="s">
        <v>57</v>
      </c>
      <c r="H25" s="16" t="s">
        <v>36</v>
      </c>
      <c r="I25" s="16" t="s">
        <v>37</v>
      </c>
      <c r="J25" s="15" t="s">
        <v>51</v>
      </c>
      <c r="K25" s="15" t="s">
        <v>51</v>
      </c>
      <c r="L25" s="15"/>
      <c r="M25" s="1"/>
      <c r="N25" s="1"/>
      <c r="O25" s="1"/>
      <c r="P25" s="1"/>
      <c r="Q25" s="1"/>
      <c r="R25" s="1"/>
      <c r="S25" s="1"/>
      <c r="T25" s="1"/>
      <c r="U25" s="1"/>
      <c r="V25" s="1"/>
      <c r="W25" s="1"/>
      <c r="X25" s="1"/>
      <c r="Y25" s="1"/>
      <c r="Z25" s="1"/>
      <c r="AA25" s="1"/>
      <c r="AB25" s="1"/>
    </row>
    <row r="26" spans="1:28" ht="14.25" customHeight="1" x14ac:dyDescent="0.2">
      <c r="A26" s="72"/>
      <c r="B26" s="17">
        <v>25</v>
      </c>
      <c r="C26" s="6" t="s">
        <v>24</v>
      </c>
      <c r="D26" s="6" t="s">
        <v>103</v>
      </c>
      <c r="E26" s="15" t="s">
        <v>104</v>
      </c>
      <c r="F26" s="15" t="s">
        <v>103</v>
      </c>
      <c r="G26" s="16" t="s">
        <v>35</v>
      </c>
      <c r="H26" s="16" t="s">
        <v>36</v>
      </c>
      <c r="I26" s="16" t="s">
        <v>37</v>
      </c>
      <c r="J26" s="15" t="s">
        <v>36</v>
      </c>
      <c r="K26" s="15" t="s">
        <v>51</v>
      </c>
      <c r="L26" s="15"/>
      <c r="M26" s="1"/>
      <c r="N26" s="1"/>
      <c r="O26" s="1"/>
      <c r="P26" s="1"/>
      <c r="Q26" s="1"/>
      <c r="R26" s="1"/>
      <c r="S26" s="1"/>
      <c r="T26" s="1"/>
      <c r="U26" s="1"/>
      <c r="V26" s="1"/>
      <c r="W26" s="1"/>
      <c r="X26" s="1"/>
      <c r="Y26" s="1"/>
      <c r="Z26" s="1"/>
      <c r="AA26" s="1"/>
      <c r="AB26" s="1"/>
    </row>
    <row r="27" spans="1:28" ht="14.25" customHeight="1" x14ac:dyDescent="0.2">
      <c r="A27" s="72"/>
      <c r="B27" s="17">
        <v>26</v>
      </c>
      <c r="C27" s="6" t="s">
        <v>24</v>
      </c>
      <c r="D27" s="6" t="s">
        <v>105</v>
      </c>
      <c r="E27" s="15" t="s">
        <v>106</v>
      </c>
      <c r="F27" s="15" t="s">
        <v>107</v>
      </c>
      <c r="G27" s="16" t="s">
        <v>57</v>
      </c>
      <c r="H27" s="16" t="s">
        <v>37</v>
      </c>
      <c r="I27" s="16" t="s">
        <v>52</v>
      </c>
      <c r="J27" s="15" t="s">
        <v>51</v>
      </c>
      <c r="K27" s="15" t="s">
        <v>52</v>
      </c>
      <c r="L27" s="15"/>
      <c r="M27" s="1"/>
      <c r="N27" s="1"/>
      <c r="O27" s="1"/>
      <c r="P27" s="1"/>
      <c r="Q27" s="1"/>
      <c r="R27" s="1"/>
      <c r="S27" s="1"/>
      <c r="T27" s="1"/>
      <c r="U27" s="1"/>
      <c r="V27" s="1"/>
      <c r="W27" s="1"/>
      <c r="X27" s="1"/>
      <c r="Y27" s="1"/>
      <c r="Z27" s="1"/>
      <c r="AA27" s="1"/>
      <c r="AB27" s="1"/>
    </row>
    <row r="28" spans="1:28" ht="14.25" customHeight="1" x14ac:dyDescent="0.2">
      <c r="A28" s="72"/>
      <c r="B28" s="17">
        <v>27</v>
      </c>
      <c r="C28" s="6" t="s">
        <v>24</v>
      </c>
      <c r="D28" s="6" t="s">
        <v>108</v>
      </c>
      <c r="E28" s="15" t="s">
        <v>109</v>
      </c>
      <c r="F28" s="15" t="s">
        <v>108</v>
      </c>
      <c r="G28" s="16" t="s">
        <v>35</v>
      </c>
      <c r="H28" s="16" t="s">
        <v>36</v>
      </c>
      <c r="I28" s="16" t="s">
        <v>37</v>
      </c>
      <c r="J28" s="15" t="s">
        <v>36</v>
      </c>
      <c r="K28" s="15" t="s">
        <v>51</v>
      </c>
      <c r="L28" s="15"/>
      <c r="M28" s="1"/>
      <c r="N28" s="1"/>
      <c r="O28" s="1"/>
      <c r="P28" s="1"/>
      <c r="Q28" s="1"/>
      <c r="R28" s="1"/>
      <c r="S28" s="1"/>
      <c r="T28" s="1"/>
      <c r="U28" s="1"/>
      <c r="V28" s="1"/>
      <c r="W28" s="1"/>
      <c r="X28" s="1"/>
      <c r="Y28" s="1"/>
      <c r="Z28" s="1"/>
      <c r="AA28" s="1"/>
      <c r="AB28" s="1"/>
    </row>
    <row r="29" spans="1:28" ht="14.25" customHeight="1" x14ac:dyDescent="0.2">
      <c r="A29" s="72"/>
      <c r="B29" s="17">
        <v>28</v>
      </c>
      <c r="C29" s="6" t="s">
        <v>24</v>
      </c>
      <c r="D29" s="6" t="s">
        <v>110</v>
      </c>
      <c r="E29" s="15" t="s">
        <v>111</v>
      </c>
      <c r="F29" s="15" t="s">
        <v>110</v>
      </c>
      <c r="G29" s="16" t="s">
        <v>35</v>
      </c>
      <c r="H29" s="16" t="s">
        <v>36</v>
      </c>
      <c r="I29" s="16" t="s">
        <v>37</v>
      </c>
      <c r="J29" s="15" t="s">
        <v>36</v>
      </c>
      <c r="K29" s="15" t="s">
        <v>51</v>
      </c>
      <c r="L29" s="15"/>
      <c r="M29" s="1"/>
      <c r="N29" s="1"/>
      <c r="O29" s="1"/>
      <c r="P29" s="1"/>
      <c r="Q29" s="1"/>
      <c r="R29" s="1"/>
      <c r="S29" s="1"/>
      <c r="T29" s="1"/>
      <c r="U29" s="1"/>
      <c r="V29" s="1"/>
      <c r="W29" s="1"/>
      <c r="X29" s="1"/>
      <c r="Y29" s="1"/>
      <c r="Z29" s="1"/>
      <c r="AA29" s="1"/>
      <c r="AB29" s="1"/>
    </row>
    <row r="30" spans="1:28" ht="14.25" customHeight="1" x14ac:dyDescent="0.2">
      <c r="A30" s="72"/>
      <c r="B30" s="17">
        <v>29</v>
      </c>
      <c r="C30" s="6" t="s">
        <v>24</v>
      </c>
      <c r="D30" s="6" t="s">
        <v>112</v>
      </c>
      <c r="E30" s="15" t="s">
        <v>113</v>
      </c>
      <c r="F30" s="15" t="s">
        <v>112</v>
      </c>
      <c r="G30" s="16" t="s">
        <v>35</v>
      </c>
      <c r="H30" s="16" t="s">
        <v>36</v>
      </c>
      <c r="I30" s="16" t="s">
        <v>37</v>
      </c>
      <c r="J30" s="15" t="s">
        <v>51</v>
      </c>
      <c r="K30" s="15" t="s">
        <v>51</v>
      </c>
      <c r="L30" s="15" t="s">
        <v>114</v>
      </c>
      <c r="M30" s="1"/>
      <c r="N30" s="1"/>
      <c r="O30" s="1"/>
      <c r="P30" s="1"/>
      <c r="Q30" s="1"/>
      <c r="R30" s="1"/>
      <c r="S30" s="1"/>
      <c r="T30" s="1"/>
      <c r="U30" s="1"/>
      <c r="V30" s="1"/>
      <c r="W30" s="1"/>
      <c r="X30" s="1"/>
      <c r="Y30" s="1"/>
      <c r="Z30" s="1"/>
      <c r="AA30" s="1"/>
      <c r="AB30" s="1"/>
    </row>
    <row r="31" spans="1:28" ht="14.25" customHeight="1" x14ac:dyDescent="0.2">
      <c r="A31" s="72"/>
      <c r="B31" s="17">
        <v>30</v>
      </c>
      <c r="C31" s="6" t="s">
        <v>24</v>
      </c>
      <c r="D31" s="6" t="s">
        <v>115</v>
      </c>
      <c r="E31" s="15" t="s">
        <v>116</v>
      </c>
      <c r="F31" s="15" t="s">
        <v>115</v>
      </c>
      <c r="G31" s="16" t="s">
        <v>35</v>
      </c>
      <c r="H31" s="16" t="s">
        <v>36</v>
      </c>
      <c r="I31" s="16" t="s">
        <v>37</v>
      </c>
      <c r="J31" s="15" t="s">
        <v>51</v>
      </c>
      <c r="K31" s="15" t="s">
        <v>51</v>
      </c>
      <c r="L31" s="15"/>
      <c r="M31" s="1"/>
      <c r="N31" s="1"/>
      <c r="O31" s="1"/>
      <c r="P31" s="1"/>
      <c r="Q31" s="1"/>
      <c r="R31" s="1"/>
      <c r="S31" s="1"/>
      <c r="T31" s="1"/>
      <c r="U31" s="1"/>
      <c r="V31" s="1"/>
      <c r="W31" s="1"/>
      <c r="X31" s="1"/>
      <c r="Y31" s="1"/>
      <c r="Z31" s="1"/>
      <c r="AA31" s="1"/>
      <c r="AB31" s="1"/>
    </row>
    <row r="32" spans="1:28" ht="14.25" customHeight="1" x14ac:dyDescent="0.2">
      <c r="A32" s="72"/>
      <c r="B32" s="17">
        <v>31</v>
      </c>
      <c r="C32" s="6" t="s">
        <v>24</v>
      </c>
      <c r="D32" s="6" t="s">
        <v>117</v>
      </c>
      <c r="E32" s="15" t="s">
        <v>118</v>
      </c>
      <c r="F32" s="15" t="s">
        <v>117</v>
      </c>
      <c r="G32" s="16" t="s">
        <v>35</v>
      </c>
      <c r="H32" s="16" t="s">
        <v>36</v>
      </c>
      <c r="I32" s="16" t="s">
        <v>37</v>
      </c>
      <c r="J32" s="15" t="s">
        <v>51</v>
      </c>
      <c r="K32" s="15" t="s">
        <v>51</v>
      </c>
      <c r="L32" s="15"/>
      <c r="M32" s="1"/>
      <c r="N32" s="1"/>
      <c r="O32" s="1"/>
      <c r="P32" s="1"/>
      <c r="Q32" s="1"/>
      <c r="R32" s="1"/>
      <c r="S32" s="1"/>
      <c r="T32" s="1"/>
      <c r="U32" s="1"/>
      <c r="V32" s="1"/>
      <c r="W32" s="1"/>
      <c r="X32" s="1"/>
      <c r="Y32" s="1"/>
      <c r="Z32" s="1"/>
      <c r="AA32" s="1"/>
      <c r="AB32" s="1"/>
    </row>
    <row r="33" spans="1:28" ht="14.25" customHeight="1" x14ac:dyDescent="0.2">
      <c r="A33" s="72"/>
      <c r="B33" s="17">
        <v>32</v>
      </c>
      <c r="C33" s="6" t="s">
        <v>24</v>
      </c>
      <c r="D33" s="6" t="s">
        <v>119</v>
      </c>
      <c r="E33" s="15" t="s">
        <v>120</v>
      </c>
      <c r="F33" s="15" t="s">
        <v>119</v>
      </c>
      <c r="G33" s="16" t="s">
        <v>35</v>
      </c>
      <c r="H33" s="16" t="s">
        <v>36</v>
      </c>
      <c r="I33" s="16" t="s">
        <v>37</v>
      </c>
      <c r="J33" s="15" t="s">
        <v>51</v>
      </c>
      <c r="K33" s="15" t="s">
        <v>51</v>
      </c>
      <c r="L33" s="15"/>
      <c r="M33" s="1"/>
      <c r="N33" s="1"/>
      <c r="O33" s="1"/>
      <c r="P33" s="1"/>
      <c r="Q33" s="1"/>
      <c r="R33" s="1"/>
      <c r="S33" s="1"/>
      <c r="T33" s="1"/>
      <c r="U33" s="1"/>
      <c r="V33" s="1"/>
      <c r="W33" s="1"/>
      <c r="X33" s="1"/>
      <c r="Y33" s="1"/>
      <c r="Z33" s="1"/>
      <c r="AA33" s="1"/>
      <c r="AB33" s="1"/>
    </row>
    <row r="34" spans="1:28" ht="14.25" customHeight="1" x14ac:dyDescent="0.2">
      <c r="A34" s="72"/>
      <c r="B34" s="17">
        <v>33</v>
      </c>
      <c r="C34" s="6" t="s">
        <v>24</v>
      </c>
      <c r="D34" s="18" t="s">
        <v>121</v>
      </c>
      <c r="E34" s="15" t="s">
        <v>122</v>
      </c>
      <c r="F34" s="15" t="s">
        <v>123</v>
      </c>
      <c r="G34" s="16" t="s">
        <v>57</v>
      </c>
      <c r="H34" s="16" t="s">
        <v>51</v>
      </c>
      <c r="I34" s="16" t="s">
        <v>52</v>
      </c>
      <c r="J34" s="15" t="s">
        <v>51</v>
      </c>
      <c r="K34" s="15" t="s">
        <v>52</v>
      </c>
      <c r="L34" s="15" t="s">
        <v>53</v>
      </c>
      <c r="M34" s="1"/>
      <c r="N34" s="1"/>
      <c r="O34" s="1"/>
      <c r="P34" s="1"/>
      <c r="Q34" s="1"/>
      <c r="R34" s="1"/>
      <c r="S34" s="1"/>
      <c r="T34" s="1"/>
      <c r="U34" s="1"/>
      <c r="V34" s="1"/>
      <c r="W34" s="1"/>
      <c r="X34" s="1"/>
      <c r="Y34" s="1"/>
      <c r="Z34" s="1"/>
      <c r="AA34" s="1"/>
      <c r="AB34" s="1"/>
    </row>
    <row r="35" spans="1:28" ht="14.25" customHeight="1" x14ac:dyDescent="0.2">
      <c r="A35" s="72"/>
      <c r="B35" s="17">
        <v>34</v>
      </c>
      <c r="C35" s="6" t="s">
        <v>24</v>
      </c>
      <c r="D35" s="6" t="s">
        <v>124</v>
      </c>
      <c r="E35" s="15" t="s">
        <v>125</v>
      </c>
      <c r="F35" s="15" t="s">
        <v>124</v>
      </c>
      <c r="G35" s="16" t="s">
        <v>35</v>
      </c>
      <c r="H35" s="16" t="s">
        <v>36</v>
      </c>
      <c r="I35" s="16" t="s">
        <v>37</v>
      </c>
      <c r="J35" s="15" t="s">
        <v>51</v>
      </c>
      <c r="K35" s="15" t="s">
        <v>51</v>
      </c>
      <c r="L35" s="15"/>
      <c r="M35" s="1"/>
      <c r="N35" s="1"/>
      <c r="O35" s="1"/>
      <c r="P35" s="1"/>
      <c r="Q35" s="1"/>
      <c r="R35" s="1"/>
      <c r="S35" s="1"/>
      <c r="T35" s="1"/>
      <c r="U35" s="1"/>
      <c r="V35" s="1"/>
      <c r="W35" s="1"/>
      <c r="X35" s="1"/>
      <c r="Y35" s="1"/>
      <c r="Z35" s="1"/>
      <c r="AA35" s="1"/>
      <c r="AB35" s="1"/>
    </row>
    <row r="36" spans="1:28" ht="14.25" customHeight="1" x14ac:dyDescent="0.2">
      <c r="A36" s="72"/>
      <c r="B36" s="17">
        <v>35</v>
      </c>
      <c r="C36" s="6" t="s">
        <v>24</v>
      </c>
      <c r="D36" s="6" t="s">
        <v>126</v>
      </c>
      <c r="E36" s="15" t="s">
        <v>127</v>
      </c>
      <c r="F36" s="15" t="s">
        <v>128</v>
      </c>
      <c r="G36" s="16" t="s">
        <v>35</v>
      </c>
      <c r="H36" s="16" t="s">
        <v>51</v>
      </c>
      <c r="I36" s="16" t="s">
        <v>52</v>
      </c>
      <c r="J36" s="15" t="s">
        <v>51</v>
      </c>
      <c r="K36" s="15" t="s">
        <v>52</v>
      </c>
      <c r="L36" s="15" t="s">
        <v>53</v>
      </c>
      <c r="M36" s="1"/>
      <c r="N36" s="1"/>
      <c r="O36" s="1"/>
      <c r="P36" s="1"/>
      <c r="Q36" s="1"/>
      <c r="R36" s="1"/>
      <c r="S36" s="1"/>
      <c r="T36" s="1"/>
      <c r="U36" s="1"/>
      <c r="V36" s="1"/>
      <c r="W36" s="1"/>
      <c r="X36" s="1"/>
      <c r="Y36" s="1"/>
      <c r="Z36" s="1"/>
      <c r="AA36" s="1"/>
      <c r="AB36" s="1"/>
    </row>
    <row r="37" spans="1:28" ht="14.25" customHeight="1" x14ac:dyDescent="0.2">
      <c r="A37" s="72"/>
      <c r="B37" s="17">
        <v>36</v>
      </c>
      <c r="C37" s="6" t="s">
        <v>24</v>
      </c>
      <c r="D37" s="6" t="s">
        <v>129</v>
      </c>
      <c r="E37" s="15" t="s">
        <v>130</v>
      </c>
      <c r="F37" s="15" t="s">
        <v>129</v>
      </c>
      <c r="G37" s="16" t="s">
        <v>35</v>
      </c>
      <c r="H37" s="16" t="s">
        <v>36</v>
      </c>
      <c r="I37" s="16" t="s">
        <v>37</v>
      </c>
      <c r="J37" s="15" t="s">
        <v>51</v>
      </c>
      <c r="K37" s="15" t="s">
        <v>51</v>
      </c>
      <c r="L37" s="15"/>
      <c r="M37" s="1"/>
      <c r="N37" s="1"/>
      <c r="O37" s="1"/>
      <c r="P37" s="1"/>
      <c r="Q37" s="1"/>
      <c r="R37" s="1"/>
      <c r="S37" s="1"/>
      <c r="T37" s="1"/>
      <c r="U37" s="1"/>
      <c r="V37" s="1"/>
      <c r="W37" s="1"/>
      <c r="X37" s="1"/>
      <c r="Y37" s="1"/>
      <c r="Z37" s="1"/>
      <c r="AA37" s="1"/>
      <c r="AB37" s="1"/>
    </row>
    <row r="38" spans="1:28" ht="14.25" customHeight="1" x14ac:dyDescent="0.2">
      <c r="A38" s="72"/>
      <c r="B38" s="17">
        <v>37</v>
      </c>
      <c r="C38" s="6" t="s">
        <v>24</v>
      </c>
      <c r="D38" s="6" t="s">
        <v>131</v>
      </c>
      <c r="E38" s="15" t="s">
        <v>132</v>
      </c>
      <c r="F38" s="15" t="s">
        <v>131</v>
      </c>
      <c r="G38" s="16" t="s">
        <v>35</v>
      </c>
      <c r="H38" s="16" t="s">
        <v>36</v>
      </c>
      <c r="I38" s="16" t="s">
        <v>37</v>
      </c>
      <c r="J38" s="15" t="s">
        <v>51</v>
      </c>
      <c r="K38" s="15" t="s">
        <v>51</v>
      </c>
      <c r="L38" s="15"/>
      <c r="M38" s="1"/>
      <c r="N38" s="1"/>
      <c r="O38" s="1"/>
      <c r="P38" s="1"/>
      <c r="Q38" s="1"/>
      <c r="R38" s="1"/>
      <c r="S38" s="1"/>
      <c r="T38" s="1"/>
      <c r="U38" s="1"/>
      <c r="V38" s="1"/>
      <c r="W38" s="1"/>
      <c r="X38" s="1"/>
      <c r="Y38" s="1"/>
      <c r="Z38" s="1"/>
      <c r="AA38" s="1"/>
      <c r="AB38" s="1"/>
    </row>
    <row r="39" spans="1:28" ht="14.25" customHeight="1" x14ac:dyDescent="0.2">
      <c r="A39" s="72"/>
      <c r="B39" s="17">
        <v>38</v>
      </c>
      <c r="C39" s="6" t="s">
        <v>24</v>
      </c>
      <c r="D39" s="6" t="s">
        <v>133</v>
      </c>
      <c r="E39" s="15" t="s">
        <v>134</v>
      </c>
      <c r="F39" s="15" t="s">
        <v>135</v>
      </c>
      <c r="G39" s="16" t="s">
        <v>35</v>
      </c>
      <c r="H39" s="16" t="s">
        <v>36</v>
      </c>
      <c r="I39" s="16" t="s">
        <v>37</v>
      </c>
      <c r="J39" s="15" t="s">
        <v>51</v>
      </c>
      <c r="K39" s="15" t="s">
        <v>51</v>
      </c>
      <c r="L39" s="15"/>
      <c r="M39" s="1"/>
      <c r="N39" s="1"/>
      <c r="O39" s="1"/>
      <c r="P39" s="1"/>
      <c r="Q39" s="1"/>
      <c r="R39" s="1"/>
      <c r="S39" s="1"/>
      <c r="T39" s="1"/>
      <c r="U39" s="1"/>
      <c r="V39" s="1"/>
      <c r="W39" s="1"/>
      <c r="X39" s="1"/>
      <c r="Y39" s="1"/>
      <c r="Z39" s="1"/>
      <c r="AA39" s="1"/>
      <c r="AB39" s="1"/>
    </row>
    <row r="40" spans="1:28" ht="14.25" customHeight="1" x14ac:dyDescent="0.2">
      <c r="A40" s="72"/>
      <c r="B40" s="17">
        <v>39</v>
      </c>
      <c r="C40" s="6" t="s">
        <v>24</v>
      </c>
      <c r="D40" s="6" t="s">
        <v>136</v>
      </c>
      <c r="E40" s="15" t="s">
        <v>137</v>
      </c>
      <c r="F40" s="15" t="s">
        <v>136</v>
      </c>
      <c r="G40" s="16" t="s">
        <v>35</v>
      </c>
      <c r="H40" s="16" t="s">
        <v>36</v>
      </c>
      <c r="I40" s="16" t="s">
        <v>37</v>
      </c>
      <c r="J40" s="15" t="s">
        <v>51</v>
      </c>
      <c r="K40" s="15" t="s">
        <v>51</v>
      </c>
      <c r="L40" s="15"/>
      <c r="M40" s="1"/>
      <c r="N40" s="1"/>
      <c r="O40" s="1"/>
      <c r="P40" s="1"/>
      <c r="Q40" s="1"/>
      <c r="R40" s="1"/>
      <c r="S40" s="1"/>
      <c r="T40" s="1"/>
      <c r="U40" s="1"/>
      <c r="V40" s="1"/>
      <c r="W40" s="1"/>
      <c r="X40" s="1"/>
      <c r="Y40" s="1"/>
      <c r="Z40" s="1"/>
      <c r="AA40" s="1"/>
      <c r="AB40" s="1"/>
    </row>
    <row r="41" spans="1:28" ht="14.25" customHeight="1" x14ac:dyDescent="0.2">
      <c r="A41" s="72"/>
      <c r="B41" s="17">
        <v>40</v>
      </c>
      <c r="C41" s="6" t="s">
        <v>24</v>
      </c>
      <c r="D41" s="6" t="s">
        <v>138</v>
      </c>
      <c r="E41" s="15" t="s">
        <v>139</v>
      </c>
      <c r="F41" s="15" t="s">
        <v>138</v>
      </c>
      <c r="G41" s="16" t="s">
        <v>35</v>
      </c>
      <c r="H41" s="16" t="s">
        <v>36</v>
      </c>
      <c r="I41" s="16" t="s">
        <v>37</v>
      </c>
      <c r="J41" s="15" t="s">
        <v>51</v>
      </c>
      <c r="K41" s="15" t="s">
        <v>51</v>
      </c>
      <c r="L41" s="15"/>
      <c r="M41" s="1"/>
      <c r="N41" s="1"/>
      <c r="O41" s="1"/>
      <c r="P41" s="1"/>
      <c r="Q41" s="1"/>
      <c r="R41" s="1"/>
      <c r="S41" s="1"/>
      <c r="T41" s="1"/>
      <c r="U41" s="1"/>
      <c r="V41" s="1"/>
      <c r="W41" s="1"/>
      <c r="X41" s="1"/>
      <c r="Y41" s="1"/>
      <c r="Z41" s="1"/>
      <c r="AA41" s="1"/>
      <c r="AB41" s="1"/>
    </row>
    <row r="42" spans="1:28" ht="14.25" customHeight="1" x14ac:dyDescent="0.2">
      <c r="A42" s="72"/>
      <c r="B42" s="17">
        <v>41</v>
      </c>
      <c r="C42" s="6" t="s">
        <v>24</v>
      </c>
      <c r="D42" s="6" t="s">
        <v>140</v>
      </c>
      <c r="E42" s="15" t="s">
        <v>141</v>
      </c>
      <c r="F42" s="15" t="s">
        <v>140</v>
      </c>
      <c r="G42" s="16" t="s">
        <v>35</v>
      </c>
      <c r="H42" s="16" t="s">
        <v>36</v>
      </c>
      <c r="I42" s="16" t="s">
        <v>37</v>
      </c>
      <c r="J42" s="15" t="s">
        <v>51</v>
      </c>
      <c r="K42" s="15" t="s">
        <v>51</v>
      </c>
      <c r="L42" s="15"/>
      <c r="M42" s="1"/>
      <c r="N42" s="1"/>
      <c r="O42" s="1"/>
      <c r="P42" s="1"/>
      <c r="Q42" s="1"/>
      <c r="R42" s="1"/>
      <c r="S42" s="1"/>
      <c r="T42" s="1"/>
      <c r="U42" s="1"/>
      <c r="V42" s="1"/>
      <c r="W42" s="1"/>
      <c r="X42" s="1"/>
      <c r="Y42" s="1"/>
      <c r="Z42" s="1"/>
      <c r="AA42" s="1"/>
      <c r="AB42" s="1"/>
    </row>
    <row r="43" spans="1:28" ht="160" x14ac:dyDescent="0.2">
      <c r="A43" s="72"/>
      <c r="B43" s="17">
        <v>42</v>
      </c>
      <c r="C43" s="6" t="s">
        <v>24</v>
      </c>
      <c r="D43" s="18" t="s">
        <v>142</v>
      </c>
      <c r="E43" s="15" t="s">
        <v>143</v>
      </c>
      <c r="F43" s="15" t="s">
        <v>144</v>
      </c>
      <c r="G43" s="16" t="s">
        <v>57</v>
      </c>
      <c r="H43" s="16" t="s">
        <v>51</v>
      </c>
      <c r="I43" s="16" t="s">
        <v>52</v>
      </c>
      <c r="J43" s="15" t="s">
        <v>51</v>
      </c>
      <c r="K43" s="15" t="s">
        <v>52</v>
      </c>
      <c r="L43" s="15" t="s">
        <v>53</v>
      </c>
      <c r="M43" s="1"/>
      <c r="N43" s="1"/>
      <c r="O43" s="1"/>
      <c r="P43" s="1"/>
      <c r="Q43" s="1"/>
      <c r="R43" s="1"/>
      <c r="S43" s="1"/>
      <c r="T43" s="1"/>
      <c r="U43" s="1"/>
      <c r="V43" s="1"/>
      <c r="W43" s="1"/>
      <c r="X43" s="1"/>
      <c r="Y43" s="1"/>
      <c r="Z43" s="1"/>
      <c r="AA43" s="1"/>
      <c r="AB43" s="1"/>
    </row>
    <row r="44" spans="1:28" ht="14.25" customHeight="1" x14ac:dyDescent="0.2">
      <c r="A44" s="72"/>
      <c r="B44" s="17">
        <v>43</v>
      </c>
      <c r="C44" s="6" t="s">
        <v>24</v>
      </c>
      <c r="D44" s="6" t="s">
        <v>145</v>
      </c>
      <c r="E44" s="15" t="s">
        <v>146</v>
      </c>
      <c r="F44" s="15" t="s">
        <v>145</v>
      </c>
      <c r="G44" s="16" t="s">
        <v>35</v>
      </c>
      <c r="H44" s="16" t="s">
        <v>36</v>
      </c>
      <c r="I44" s="16" t="s">
        <v>37</v>
      </c>
      <c r="J44" s="15" t="s">
        <v>51</v>
      </c>
      <c r="K44" s="15" t="s">
        <v>51</v>
      </c>
      <c r="L44" s="15"/>
      <c r="M44" s="1"/>
      <c r="N44" s="1"/>
      <c r="O44" s="1"/>
      <c r="P44" s="1"/>
      <c r="Q44" s="1"/>
      <c r="R44" s="1"/>
      <c r="S44" s="1"/>
      <c r="T44" s="1"/>
      <c r="U44" s="1"/>
      <c r="V44" s="1"/>
      <c r="W44" s="1"/>
      <c r="X44" s="1"/>
      <c r="Y44" s="1"/>
      <c r="Z44" s="1"/>
      <c r="AA44" s="1"/>
      <c r="AB44" s="1"/>
    </row>
    <row r="45" spans="1:28" ht="14.25" customHeight="1" x14ac:dyDescent="0.2">
      <c r="A45" s="72"/>
      <c r="B45" s="17">
        <v>44</v>
      </c>
      <c r="C45" s="6" t="s">
        <v>24</v>
      </c>
      <c r="D45" s="18" t="s">
        <v>147</v>
      </c>
      <c r="E45" s="15" t="s">
        <v>148</v>
      </c>
      <c r="F45" s="15" t="s">
        <v>149</v>
      </c>
      <c r="G45" s="16" t="s">
        <v>65</v>
      </c>
      <c r="H45" s="16" t="s">
        <v>51</v>
      </c>
      <c r="I45" s="16" t="s">
        <v>52</v>
      </c>
      <c r="J45" s="15" t="s">
        <v>51</v>
      </c>
      <c r="K45" s="15" t="s">
        <v>52</v>
      </c>
      <c r="L45" s="15"/>
      <c r="M45" s="1"/>
      <c r="N45" s="1"/>
      <c r="O45" s="1"/>
      <c r="P45" s="1"/>
      <c r="Q45" s="1"/>
      <c r="R45" s="1"/>
      <c r="S45" s="1"/>
      <c r="T45" s="1"/>
      <c r="U45" s="1"/>
      <c r="V45" s="1"/>
      <c r="W45" s="1"/>
      <c r="X45" s="1"/>
      <c r="Y45" s="1"/>
      <c r="Z45" s="1"/>
      <c r="AA45" s="1"/>
      <c r="AB45" s="1"/>
    </row>
    <row r="46" spans="1:28" ht="14.25" customHeight="1" x14ac:dyDescent="0.2">
      <c r="A46" s="72"/>
      <c r="B46" s="17">
        <v>45</v>
      </c>
      <c r="C46" s="6" t="s">
        <v>24</v>
      </c>
      <c r="D46" s="6" t="s">
        <v>150</v>
      </c>
      <c r="E46" s="15" t="s">
        <v>151</v>
      </c>
      <c r="F46" s="15" t="s">
        <v>150</v>
      </c>
      <c r="G46" s="16" t="s">
        <v>35</v>
      </c>
      <c r="H46" s="16" t="s">
        <v>36</v>
      </c>
      <c r="I46" s="16" t="s">
        <v>37</v>
      </c>
      <c r="J46" s="15" t="s">
        <v>51</v>
      </c>
      <c r="K46" s="15" t="s">
        <v>51</v>
      </c>
      <c r="L46" s="15" t="s">
        <v>152</v>
      </c>
      <c r="M46" s="1"/>
      <c r="N46" s="1"/>
      <c r="O46" s="1"/>
      <c r="P46" s="1"/>
      <c r="Q46" s="1"/>
      <c r="R46" s="1"/>
      <c r="S46" s="1"/>
      <c r="T46" s="1"/>
      <c r="U46" s="1"/>
      <c r="V46" s="1"/>
      <c r="W46" s="1"/>
      <c r="X46" s="1"/>
      <c r="Y46" s="1"/>
      <c r="Z46" s="1"/>
      <c r="AA46" s="1"/>
      <c r="AB46" s="1"/>
    </row>
    <row r="47" spans="1:28" ht="14.25" customHeight="1" x14ac:dyDescent="0.2">
      <c r="A47" s="72"/>
      <c r="B47" s="17">
        <v>46</v>
      </c>
      <c r="C47" s="6" t="s">
        <v>24</v>
      </c>
      <c r="D47" s="6" t="s">
        <v>153</v>
      </c>
      <c r="E47" s="15" t="s">
        <v>154</v>
      </c>
      <c r="F47" s="15" t="s">
        <v>155</v>
      </c>
      <c r="G47" s="16" t="s">
        <v>35</v>
      </c>
      <c r="H47" s="16" t="s">
        <v>36</v>
      </c>
      <c r="I47" s="16" t="s">
        <v>37</v>
      </c>
      <c r="J47" s="15" t="s">
        <v>51</v>
      </c>
      <c r="K47" s="15" t="s">
        <v>51</v>
      </c>
      <c r="L47" s="15"/>
      <c r="M47" s="1"/>
      <c r="N47" s="1"/>
      <c r="O47" s="1"/>
      <c r="P47" s="1"/>
      <c r="Q47" s="1"/>
      <c r="R47" s="1"/>
      <c r="S47" s="1"/>
      <c r="T47" s="1"/>
      <c r="U47" s="1"/>
      <c r="V47" s="1"/>
      <c r="W47" s="1"/>
      <c r="X47" s="1"/>
      <c r="Y47" s="1"/>
      <c r="Z47" s="1"/>
      <c r="AA47" s="1"/>
      <c r="AB47" s="1"/>
    </row>
    <row r="48" spans="1:28" ht="14.25" customHeight="1" x14ac:dyDescent="0.2">
      <c r="A48" s="72"/>
      <c r="B48" s="17">
        <v>47</v>
      </c>
      <c r="C48" s="6" t="s">
        <v>24</v>
      </c>
      <c r="D48" s="6" t="s">
        <v>156</v>
      </c>
      <c r="E48" s="15" t="s">
        <v>157</v>
      </c>
      <c r="F48" s="15" t="s">
        <v>156</v>
      </c>
      <c r="G48" s="16" t="s">
        <v>35</v>
      </c>
      <c r="H48" s="16" t="s">
        <v>51</v>
      </c>
      <c r="I48" s="16" t="s">
        <v>52</v>
      </c>
      <c r="J48" s="15" t="s">
        <v>51</v>
      </c>
      <c r="K48" s="15" t="s">
        <v>52</v>
      </c>
      <c r="L48" s="15" t="s">
        <v>53</v>
      </c>
      <c r="M48" s="1"/>
      <c r="N48" s="1"/>
      <c r="O48" s="1"/>
      <c r="P48" s="1"/>
      <c r="Q48" s="1"/>
      <c r="R48" s="1"/>
      <c r="S48" s="1"/>
      <c r="T48" s="1"/>
      <c r="U48" s="1"/>
      <c r="V48" s="1"/>
      <c r="W48" s="1"/>
      <c r="X48" s="1"/>
      <c r="Y48" s="1"/>
      <c r="Z48" s="1"/>
      <c r="AA48" s="1"/>
      <c r="AB48" s="1"/>
    </row>
    <row r="49" spans="1:28" ht="14.25" customHeight="1" x14ac:dyDescent="0.2">
      <c r="A49" s="72"/>
      <c r="B49" s="17">
        <v>48</v>
      </c>
      <c r="C49" s="6" t="s">
        <v>24</v>
      </c>
      <c r="D49" s="18" t="s">
        <v>158</v>
      </c>
      <c r="E49" s="15" t="s">
        <v>159</v>
      </c>
      <c r="F49" s="15" t="s">
        <v>160</v>
      </c>
      <c r="G49" s="16" t="s">
        <v>57</v>
      </c>
      <c r="H49" s="16" t="s">
        <v>51</v>
      </c>
      <c r="I49" s="16" t="s">
        <v>52</v>
      </c>
      <c r="J49" s="15" t="s">
        <v>51</v>
      </c>
      <c r="K49" s="15" t="s">
        <v>52</v>
      </c>
      <c r="L49" s="15" t="s">
        <v>53</v>
      </c>
      <c r="M49" s="1"/>
      <c r="N49" s="1"/>
      <c r="O49" s="1"/>
      <c r="P49" s="1"/>
      <c r="Q49" s="1"/>
      <c r="R49" s="1"/>
      <c r="S49" s="1"/>
      <c r="T49" s="1"/>
      <c r="U49" s="1"/>
      <c r="V49" s="1"/>
      <c r="W49" s="1"/>
      <c r="X49" s="1"/>
      <c r="Y49" s="1"/>
      <c r="Z49" s="1"/>
      <c r="AA49" s="1"/>
      <c r="AB49" s="1"/>
    </row>
    <row r="50" spans="1:28" ht="14.25" customHeight="1" x14ac:dyDescent="0.2">
      <c r="A50" s="72"/>
      <c r="B50" s="17">
        <v>49</v>
      </c>
      <c r="C50" s="6" t="s">
        <v>24</v>
      </c>
      <c r="D50" s="6" t="s">
        <v>161</v>
      </c>
      <c r="E50" s="15" t="s">
        <v>162</v>
      </c>
      <c r="F50" s="15" t="s">
        <v>163</v>
      </c>
      <c r="G50" s="16" t="s">
        <v>57</v>
      </c>
      <c r="H50" s="16" t="s">
        <v>37</v>
      </c>
      <c r="I50" s="16" t="s">
        <v>52</v>
      </c>
      <c r="J50" s="15" t="s">
        <v>51</v>
      </c>
      <c r="K50" s="15" t="s">
        <v>52</v>
      </c>
      <c r="L50" s="15"/>
      <c r="M50" s="1"/>
      <c r="N50" s="1"/>
      <c r="O50" s="1"/>
      <c r="P50" s="1"/>
      <c r="Q50" s="1"/>
      <c r="R50" s="1"/>
      <c r="S50" s="1"/>
      <c r="T50" s="1"/>
      <c r="U50" s="1"/>
      <c r="V50" s="1"/>
      <c r="W50" s="1"/>
      <c r="X50" s="1"/>
      <c r="Y50" s="1"/>
      <c r="Z50" s="1"/>
      <c r="AA50" s="1"/>
      <c r="AB50" s="1"/>
    </row>
    <row r="51" spans="1:28" ht="14.25" customHeight="1" x14ac:dyDescent="0.2">
      <c r="A51" s="72"/>
      <c r="B51" s="17">
        <v>50</v>
      </c>
      <c r="C51" s="6" t="s">
        <v>24</v>
      </c>
      <c r="D51" s="6" t="s">
        <v>164</v>
      </c>
      <c r="E51" s="15" t="s">
        <v>165</v>
      </c>
      <c r="F51" s="15" t="s">
        <v>164</v>
      </c>
      <c r="G51" s="16" t="s">
        <v>35</v>
      </c>
      <c r="H51" s="16" t="s">
        <v>36</v>
      </c>
      <c r="I51" s="16" t="s">
        <v>37</v>
      </c>
      <c r="J51" s="15" t="s">
        <v>51</v>
      </c>
      <c r="K51" s="15" t="s">
        <v>51</v>
      </c>
      <c r="L51" s="15"/>
      <c r="M51" s="1"/>
      <c r="N51" s="1"/>
      <c r="O51" s="1"/>
      <c r="P51" s="1"/>
      <c r="Q51" s="1"/>
      <c r="R51" s="1"/>
      <c r="S51" s="1"/>
      <c r="T51" s="1"/>
      <c r="U51" s="1"/>
      <c r="V51" s="1"/>
      <c r="W51" s="1"/>
      <c r="X51" s="1"/>
      <c r="Y51" s="1"/>
      <c r="Z51" s="1"/>
      <c r="AA51" s="1"/>
      <c r="AB51" s="1"/>
    </row>
    <row r="52" spans="1:28" ht="14.25" customHeight="1" x14ac:dyDescent="0.2">
      <c r="A52" s="72"/>
      <c r="B52" s="17">
        <v>51</v>
      </c>
      <c r="C52" s="6" t="s">
        <v>24</v>
      </c>
      <c r="D52" s="6" t="s">
        <v>166</v>
      </c>
      <c r="E52" s="15" t="s">
        <v>167</v>
      </c>
      <c r="F52" s="15" t="s">
        <v>168</v>
      </c>
      <c r="G52" s="16" t="s">
        <v>57</v>
      </c>
      <c r="H52" s="16" t="s">
        <v>37</v>
      </c>
      <c r="I52" s="16" t="s">
        <v>52</v>
      </c>
      <c r="J52" s="15" t="s">
        <v>51</v>
      </c>
      <c r="K52" s="15" t="s">
        <v>52</v>
      </c>
      <c r="L52" s="15" t="s">
        <v>53</v>
      </c>
      <c r="M52" s="1"/>
      <c r="N52" s="1"/>
      <c r="O52" s="1"/>
      <c r="P52" s="1"/>
      <c r="Q52" s="1"/>
      <c r="R52" s="1"/>
      <c r="S52" s="1"/>
      <c r="T52" s="1"/>
      <c r="U52" s="1"/>
      <c r="V52" s="1"/>
      <c r="W52" s="1"/>
      <c r="X52" s="1"/>
      <c r="Y52" s="1"/>
      <c r="Z52" s="1"/>
      <c r="AA52" s="1"/>
      <c r="AB52" s="1"/>
    </row>
    <row r="53" spans="1:28" ht="14.25" customHeight="1" x14ac:dyDescent="0.2">
      <c r="A53" s="72"/>
      <c r="B53" s="17">
        <v>52</v>
      </c>
      <c r="C53" s="6" t="s">
        <v>24</v>
      </c>
      <c r="D53" s="6" t="s">
        <v>169</v>
      </c>
      <c r="E53" s="15" t="s">
        <v>170</v>
      </c>
      <c r="F53" s="15" t="s">
        <v>171</v>
      </c>
      <c r="G53" s="16" t="s">
        <v>35</v>
      </c>
      <c r="H53" s="16" t="s">
        <v>51</v>
      </c>
      <c r="I53" s="16" t="s">
        <v>52</v>
      </c>
      <c r="J53" s="15" t="s">
        <v>51</v>
      </c>
      <c r="K53" s="15" t="s">
        <v>52</v>
      </c>
      <c r="L53" s="15" t="s">
        <v>53</v>
      </c>
      <c r="M53" s="1"/>
      <c r="N53" s="1"/>
      <c r="O53" s="1"/>
      <c r="P53" s="1"/>
      <c r="Q53" s="1"/>
      <c r="R53" s="1"/>
      <c r="S53" s="1"/>
      <c r="T53" s="1"/>
      <c r="U53" s="1"/>
      <c r="V53" s="1"/>
      <c r="W53" s="1"/>
      <c r="X53" s="1"/>
      <c r="Y53" s="1"/>
      <c r="Z53" s="1"/>
      <c r="AA53" s="1"/>
      <c r="AB53" s="1"/>
    </row>
    <row r="54" spans="1:28" ht="14.25" customHeight="1" x14ac:dyDescent="0.2">
      <c r="A54" s="72"/>
      <c r="B54" s="17">
        <v>53</v>
      </c>
      <c r="C54" s="6" t="s">
        <v>24</v>
      </c>
      <c r="D54" s="6" t="s">
        <v>172</v>
      </c>
      <c r="E54" s="15" t="s">
        <v>173</v>
      </c>
      <c r="F54" s="15" t="s">
        <v>174</v>
      </c>
      <c r="G54" s="16" t="s">
        <v>35</v>
      </c>
      <c r="H54" s="16" t="s">
        <v>36</v>
      </c>
      <c r="I54" s="16" t="s">
        <v>37</v>
      </c>
      <c r="J54" s="15" t="s">
        <v>51</v>
      </c>
      <c r="K54" s="15" t="s">
        <v>51</v>
      </c>
      <c r="L54" s="15" t="s">
        <v>152</v>
      </c>
      <c r="M54" s="1"/>
      <c r="N54" s="1"/>
      <c r="O54" s="1"/>
      <c r="P54" s="1"/>
      <c r="Q54" s="1"/>
      <c r="R54" s="1"/>
      <c r="S54" s="1"/>
      <c r="T54" s="1"/>
      <c r="U54" s="1"/>
      <c r="V54" s="1"/>
      <c r="W54" s="1"/>
      <c r="X54" s="1"/>
      <c r="Y54" s="1"/>
      <c r="Z54" s="1"/>
      <c r="AA54" s="1"/>
      <c r="AB54" s="1"/>
    </row>
    <row r="55" spans="1:28" ht="14.25" customHeight="1" x14ac:dyDescent="0.2">
      <c r="A55" s="72"/>
      <c r="B55" s="17">
        <v>54</v>
      </c>
      <c r="C55" s="6" t="s">
        <v>24</v>
      </c>
      <c r="D55" s="6" t="s">
        <v>175</v>
      </c>
      <c r="E55" s="15" t="s">
        <v>176</v>
      </c>
      <c r="F55" s="15" t="s">
        <v>175</v>
      </c>
      <c r="G55" s="16" t="s">
        <v>35</v>
      </c>
      <c r="H55" s="16" t="s">
        <v>36</v>
      </c>
      <c r="I55" s="16" t="s">
        <v>37</v>
      </c>
      <c r="J55" s="15" t="s">
        <v>51</v>
      </c>
      <c r="K55" s="15" t="s">
        <v>51</v>
      </c>
      <c r="L55" s="15"/>
      <c r="M55" s="1"/>
      <c r="N55" s="1"/>
      <c r="O55" s="1"/>
      <c r="P55" s="1"/>
      <c r="Q55" s="1"/>
      <c r="R55" s="1"/>
      <c r="S55" s="1"/>
      <c r="T55" s="1"/>
      <c r="U55" s="1"/>
      <c r="V55" s="1"/>
      <c r="W55" s="1"/>
      <c r="X55" s="1"/>
      <c r="Y55" s="1"/>
      <c r="Z55" s="1"/>
      <c r="AA55" s="1"/>
      <c r="AB55" s="1"/>
    </row>
    <row r="56" spans="1:28" ht="14.25" customHeight="1" x14ac:dyDescent="0.2">
      <c r="A56" s="72"/>
      <c r="B56" s="17">
        <v>55</v>
      </c>
      <c r="C56" s="6" t="s">
        <v>24</v>
      </c>
      <c r="D56" s="6" t="s">
        <v>177</v>
      </c>
      <c r="E56" s="15" t="s">
        <v>178</v>
      </c>
      <c r="F56" s="15" t="s">
        <v>177</v>
      </c>
      <c r="G56" s="16" t="s">
        <v>35</v>
      </c>
      <c r="H56" s="16" t="s">
        <v>36</v>
      </c>
      <c r="I56" s="16" t="s">
        <v>37</v>
      </c>
      <c r="J56" s="15" t="s">
        <v>51</v>
      </c>
      <c r="K56" s="15" t="s">
        <v>51</v>
      </c>
      <c r="L56" s="15"/>
      <c r="M56" s="1"/>
      <c r="N56" s="1"/>
      <c r="O56" s="1"/>
      <c r="P56" s="1"/>
      <c r="Q56" s="1"/>
      <c r="R56" s="1"/>
      <c r="S56" s="1"/>
      <c r="T56" s="1"/>
      <c r="U56" s="1"/>
      <c r="V56" s="1"/>
      <c r="W56" s="1"/>
      <c r="X56" s="1"/>
      <c r="Y56" s="1"/>
      <c r="Z56" s="1"/>
      <c r="AA56" s="1"/>
      <c r="AB56" s="1"/>
    </row>
    <row r="57" spans="1:28" ht="14.25" customHeight="1" x14ac:dyDescent="0.2">
      <c r="A57" s="72"/>
      <c r="B57" s="17">
        <v>56</v>
      </c>
      <c r="C57" s="6" t="s">
        <v>24</v>
      </c>
      <c r="D57" s="6" t="s">
        <v>179</v>
      </c>
      <c r="E57" s="15" t="s">
        <v>180</v>
      </c>
      <c r="F57" s="15" t="s">
        <v>181</v>
      </c>
      <c r="G57" s="16" t="s">
        <v>35</v>
      </c>
      <c r="H57" s="16" t="s">
        <v>36</v>
      </c>
      <c r="I57" s="16" t="s">
        <v>37</v>
      </c>
      <c r="J57" s="15" t="s">
        <v>51</v>
      </c>
      <c r="K57" s="15" t="s">
        <v>51</v>
      </c>
      <c r="L57" s="15"/>
      <c r="M57" s="1"/>
      <c r="N57" s="1"/>
      <c r="O57" s="1"/>
      <c r="P57" s="1"/>
      <c r="Q57" s="1"/>
      <c r="R57" s="1"/>
      <c r="S57" s="1"/>
      <c r="T57" s="1"/>
      <c r="U57" s="1"/>
      <c r="V57" s="1"/>
      <c r="W57" s="1"/>
      <c r="X57" s="1"/>
      <c r="Y57" s="1"/>
      <c r="Z57" s="1"/>
      <c r="AA57" s="1"/>
      <c r="AB57" s="1"/>
    </row>
    <row r="58" spans="1:28" ht="14.25" customHeight="1" x14ac:dyDescent="0.2">
      <c r="A58" s="72"/>
      <c r="B58" s="17">
        <v>57</v>
      </c>
      <c r="C58" s="6" t="s">
        <v>24</v>
      </c>
      <c r="D58" s="6" t="s">
        <v>182</v>
      </c>
      <c r="E58" s="15" t="s">
        <v>183</v>
      </c>
      <c r="F58" s="15" t="s">
        <v>182</v>
      </c>
      <c r="G58" s="16" t="s">
        <v>35</v>
      </c>
      <c r="H58" s="16" t="s">
        <v>36</v>
      </c>
      <c r="I58" s="16" t="s">
        <v>37</v>
      </c>
      <c r="J58" s="15" t="s">
        <v>51</v>
      </c>
      <c r="K58" s="15" t="s">
        <v>51</v>
      </c>
      <c r="L58" s="15" t="s">
        <v>114</v>
      </c>
      <c r="M58" s="1"/>
      <c r="N58" s="1"/>
      <c r="O58" s="1"/>
      <c r="P58" s="1"/>
      <c r="Q58" s="1"/>
      <c r="R58" s="1"/>
      <c r="S58" s="1"/>
      <c r="T58" s="1"/>
      <c r="U58" s="1"/>
      <c r="V58" s="1"/>
      <c r="W58" s="1"/>
      <c r="X58" s="1"/>
      <c r="Y58" s="1"/>
      <c r="Z58" s="1"/>
      <c r="AA58" s="1"/>
      <c r="AB58" s="1"/>
    </row>
    <row r="59" spans="1:28" ht="14.25" customHeight="1" x14ac:dyDescent="0.2">
      <c r="A59" s="72"/>
      <c r="B59" s="17">
        <v>58</v>
      </c>
      <c r="C59" s="6" t="s">
        <v>24</v>
      </c>
      <c r="D59" s="6" t="s">
        <v>184</v>
      </c>
      <c r="E59" s="15" t="s">
        <v>185</v>
      </c>
      <c r="F59" s="15" t="s">
        <v>184</v>
      </c>
      <c r="G59" s="16" t="s">
        <v>35</v>
      </c>
      <c r="H59" s="16" t="s">
        <v>36</v>
      </c>
      <c r="I59" s="16" t="s">
        <v>37</v>
      </c>
      <c r="J59" s="15" t="s">
        <v>51</v>
      </c>
      <c r="K59" s="15" t="s">
        <v>51</v>
      </c>
      <c r="L59" s="15"/>
      <c r="M59" s="1"/>
      <c r="N59" s="1"/>
      <c r="O59" s="1"/>
      <c r="P59" s="1"/>
      <c r="Q59" s="1"/>
      <c r="R59" s="1"/>
      <c r="S59" s="1"/>
      <c r="T59" s="1"/>
      <c r="U59" s="1"/>
      <c r="V59" s="1"/>
      <c r="W59" s="1"/>
      <c r="X59" s="1"/>
      <c r="Y59" s="1"/>
      <c r="Z59" s="1"/>
      <c r="AA59" s="1"/>
      <c r="AB59" s="1"/>
    </row>
    <row r="60" spans="1:28" ht="14.25" customHeight="1" x14ac:dyDescent="0.2">
      <c r="A60" s="72"/>
      <c r="B60" s="17">
        <v>59</v>
      </c>
      <c r="C60" s="6" t="s">
        <v>24</v>
      </c>
      <c r="D60" s="6" t="s">
        <v>186</v>
      </c>
      <c r="E60" s="15" t="s">
        <v>187</v>
      </c>
      <c r="F60" s="15" t="s">
        <v>186</v>
      </c>
      <c r="G60" s="16" t="s">
        <v>35</v>
      </c>
      <c r="H60" s="16" t="s">
        <v>36</v>
      </c>
      <c r="I60" s="16" t="s">
        <v>37</v>
      </c>
      <c r="J60" s="15" t="s">
        <v>51</v>
      </c>
      <c r="K60" s="15" t="s">
        <v>51</v>
      </c>
      <c r="L60" s="15"/>
      <c r="M60" s="1"/>
      <c r="N60" s="1"/>
      <c r="O60" s="1"/>
      <c r="P60" s="1"/>
      <c r="Q60" s="1"/>
      <c r="R60" s="1"/>
      <c r="S60" s="1"/>
      <c r="T60" s="1"/>
      <c r="U60" s="1"/>
      <c r="V60" s="1"/>
      <c r="W60" s="1"/>
      <c r="X60" s="1"/>
      <c r="Y60" s="1"/>
      <c r="Z60" s="1"/>
      <c r="AA60" s="1"/>
      <c r="AB60" s="1"/>
    </row>
    <row r="61" spans="1:28" ht="14.25" customHeight="1" x14ac:dyDescent="0.2">
      <c r="A61" s="72"/>
      <c r="B61" s="17">
        <v>60</v>
      </c>
      <c r="C61" s="6" t="s">
        <v>24</v>
      </c>
      <c r="D61" s="6" t="s">
        <v>188</v>
      </c>
      <c r="E61" s="15" t="s">
        <v>189</v>
      </c>
      <c r="F61" s="15" t="s">
        <v>188</v>
      </c>
      <c r="G61" s="16" t="s">
        <v>35</v>
      </c>
      <c r="H61" s="16" t="s">
        <v>51</v>
      </c>
      <c r="I61" s="16" t="s">
        <v>52</v>
      </c>
      <c r="J61" s="15" t="s">
        <v>51</v>
      </c>
      <c r="K61" s="15" t="s">
        <v>52</v>
      </c>
      <c r="L61" s="15"/>
      <c r="M61" s="1"/>
      <c r="N61" s="1"/>
      <c r="O61" s="1"/>
      <c r="P61" s="1"/>
      <c r="Q61" s="1"/>
      <c r="R61" s="1"/>
      <c r="S61" s="1"/>
      <c r="T61" s="1"/>
      <c r="U61" s="1"/>
      <c r="V61" s="1"/>
      <c r="W61" s="1"/>
      <c r="X61" s="1"/>
      <c r="Y61" s="1"/>
      <c r="Z61" s="1"/>
      <c r="AA61" s="1"/>
      <c r="AB61" s="1"/>
    </row>
    <row r="62" spans="1:28" ht="14.25" customHeight="1" x14ac:dyDescent="0.2">
      <c r="A62" s="72"/>
      <c r="B62" s="17">
        <v>61</v>
      </c>
      <c r="C62" s="6" t="s">
        <v>24</v>
      </c>
      <c r="D62" s="6" t="s">
        <v>190</v>
      </c>
      <c r="E62" s="15" t="s">
        <v>191</v>
      </c>
      <c r="F62" s="15" t="s">
        <v>192</v>
      </c>
      <c r="G62" s="16" t="s">
        <v>35</v>
      </c>
      <c r="H62" s="16" t="s">
        <v>51</v>
      </c>
      <c r="I62" s="16" t="s">
        <v>52</v>
      </c>
      <c r="J62" s="15" t="s">
        <v>51</v>
      </c>
      <c r="K62" s="15" t="s">
        <v>52</v>
      </c>
      <c r="L62" s="15"/>
      <c r="M62" s="1"/>
      <c r="N62" s="1"/>
      <c r="O62" s="1"/>
      <c r="P62" s="1"/>
      <c r="Q62" s="1"/>
      <c r="R62" s="1"/>
      <c r="S62" s="1"/>
      <c r="T62" s="1"/>
      <c r="U62" s="1"/>
      <c r="V62" s="1"/>
      <c r="W62" s="1"/>
      <c r="X62" s="1"/>
      <c r="Y62" s="1"/>
      <c r="Z62" s="1"/>
      <c r="AA62" s="1"/>
      <c r="AB62" s="1"/>
    </row>
    <row r="63" spans="1:28" ht="320" x14ac:dyDescent="0.2">
      <c r="A63" s="72"/>
      <c r="B63" s="17">
        <v>62</v>
      </c>
      <c r="C63" s="6" t="s">
        <v>24</v>
      </c>
      <c r="D63" s="18" t="s">
        <v>193</v>
      </c>
      <c r="E63" s="15" t="s">
        <v>194</v>
      </c>
      <c r="F63" s="15" t="s">
        <v>195</v>
      </c>
      <c r="G63" s="16" t="s">
        <v>57</v>
      </c>
      <c r="H63" s="16" t="s">
        <v>51</v>
      </c>
      <c r="I63" s="16" t="s">
        <v>52</v>
      </c>
      <c r="J63" s="15" t="s">
        <v>51</v>
      </c>
      <c r="K63" s="15" t="s">
        <v>52</v>
      </c>
      <c r="L63" s="15" t="s">
        <v>53</v>
      </c>
      <c r="M63" s="1"/>
      <c r="N63" s="1"/>
      <c r="O63" s="1"/>
      <c r="P63" s="1"/>
      <c r="Q63" s="1"/>
      <c r="R63" s="1"/>
      <c r="S63" s="1"/>
      <c r="T63" s="1"/>
      <c r="U63" s="1"/>
      <c r="V63" s="1"/>
      <c r="W63" s="1"/>
      <c r="X63" s="1"/>
      <c r="Y63" s="1"/>
      <c r="Z63" s="1"/>
      <c r="AA63" s="1"/>
      <c r="AB63" s="1"/>
    </row>
    <row r="64" spans="1:28" ht="14.25" customHeight="1" x14ac:dyDescent="0.2">
      <c r="A64" s="72"/>
      <c r="B64" s="17">
        <v>63</v>
      </c>
      <c r="C64" s="6" t="s">
        <v>24</v>
      </c>
      <c r="D64" s="6" t="s">
        <v>196</v>
      </c>
      <c r="E64" s="15" t="s">
        <v>197</v>
      </c>
      <c r="F64" s="15" t="s">
        <v>196</v>
      </c>
      <c r="G64" s="16" t="s">
        <v>65</v>
      </c>
      <c r="H64" s="16" t="s">
        <v>36</v>
      </c>
      <c r="I64" s="16" t="s">
        <v>51</v>
      </c>
      <c r="J64" s="15" t="s">
        <v>51</v>
      </c>
      <c r="K64" s="15" t="s">
        <v>51</v>
      </c>
      <c r="L64" s="15"/>
      <c r="M64" s="1"/>
      <c r="N64" s="1"/>
      <c r="O64" s="1"/>
      <c r="P64" s="1"/>
      <c r="Q64" s="1"/>
      <c r="R64" s="1"/>
      <c r="S64" s="1"/>
      <c r="T64" s="1"/>
      <c r="U64" s="1"/>
      <c r="V64" s="1"/>
      <c r="W64" s="1"/>
      <c r="X64" s="1"/>
      <c r="Y64" s="1"/>
      <c r="Z64" s="1"/>
      <c r="AA64" s="1"/>
      <c r="AB64" s="1"/>
    </row>
    <row r="65" spans="1:28" ht="14.25" customHeight="1" x14ac:dyDescent="0.2">
      <c r="A65" s="72"/>
      <c r="B65" s="17">
        <v>64</v>
      </c>
      <c r="C65" s="6" t="s">
        <v>24</v>
      </c>
      <c r="D65" s="6" t="s">
        <v>198</v>
      </c>
      <c r="E65" s="15" t="s">
        <v>199</v>
      </c>
      <c r="F65" s="15" t="s">
        <v>198</v>
      </c>
      <c r="G65" s="16" t="s">
        <v>65</v>
      </c>
      <c r="H65" s="16" t="s">
        <v>36</v>
      </c>
      <c r="I65" s="16" t="s">
        <v>51</v>
      </c>
      <c r="J65" s="15" t="s">
        <v>51</v>
      </c>
      <c r="K65" s="15" t="s">
        <v>51</v>
      </c>
      <c r="L65" s="15"/>
      <c r="M65" s="1"/>
      <c r="N65" s="1"/>
      <c r="O65" s="1"/>
      <c r="P65" s="1"/>
      <c r="Q65" s="1"/>
      <c r="R65" s="1"/>
      <c r="S65" s="1"/>
      <c r="T65" s="1"/>
      <c r="U65" s="1"/>
      <c r="V65" s="1"/>
      <c r="W65" s="1"/>
      <c r="X65" s="1"/>
      <c r="Y65" s="1"/>
      <c r="Z65" s="1"/>
      <c r="AA65" s="1"/>
      <c r="AB65" s="1"/>
    </row>
    <row r="66" spans="1:28" ht="32" x14ac:dyDescent="0.2">
      <c r="A66" s="72"/>
      <c r="B66" s="17">
        <v>65</v>
      </c>
      <c r="C66" s="6" t="s">
        <v>24</v>
      </c>
      <c r="D66" s="18" t="s">
        <v>200</v>
      </c>
      <c r="E66" s="15" t="s">
        <v>201</v>
      </c>
      <c r="F66" s="15" t="s">
        <v>202</v>
      </c>
      <c r="G66" s="16" t="s">
        <v>57</v>
      </c>
      <c r="H66" s="16" t="s">
        <v>51</v>
      </c>
      <c r="I66" s="16" t="s">
        <v>52</v>
      </c>
      <c r="J66" s="15" t="s">
        <v>51</v>
      </c>
      <c r="K66" s="15" t="s">
        <v>52</v>
      </c>
      <c r="L66" s="15"/>
      <c r="M66" s="1"/>
      <c r="N66" s="1"/>
      <c r="O66" s="1"/>
      <c r="P66" s="1"/>
      <c r="Q66" s="1"/>
      <c r="R66" s="1"/>
      <c r="S66" s="1"/>
      <c r="T66" s="1"/>
      <c r="U66" s="1"/>
      <c r="V66" s="1"/>
      <c r="W66" s="1"/>
      <c r="X66" s="1"/>
      <c r="Y66" s="1"/>
      <c r="Z66" s="1"/>
      <c r="AA66" s="1"/>
      <c r="AB66" s="1"/>
    </row>
    <row r="67" spans="1:28" ht="14.25" customHeight="1" x14ac:dyDescent="0.2">
      <c r="A67" s="72"/>
      <c r="B67" s="17">
        <v>66</v>
      </c>
      <c r="C67" s="6" t="s">
        <v>24</v>
      </c>
      <c r="D67" s="6" t="s">
        <v>203</v>
      </c>
      <c r="E67" s="15" t="s">
        <v>204</v>
      </c>
      <c r="F67" s="15" t="s">
        <v>205</v>
      </c>
      <c r="G67" s="16" t="s">
        <v>65</v>
      </c>
      <c r="H67" s="16" t="s">
        <v>36</v>
      </c>
      <c r="I67" s="16" t="s">
        <v>51</v>
      </c>
      <c r="J67" s="15" t="s">
        <v>51</v>
      </c>
      <c r="K67" s="15" t="s">
        <v>51</v>
      </c>
      <c r="L67" s="15"/>
      <c r="M67" s="1"/>
      <c r="N67" s="1"/>
      <c r="O67" s="1"/>
      <c r="P67" s="1"/>
      <c r="Q67" s="1"/>
      <c r="R67" s="1"/>
      <c r="S67" s="1"/>
      <c r="T67" s="1"/>
      <c r="U67" s="1"/>
      <c r="V67" s="1"/>
      <c r="W67" s="1"/>
      <c r="X67" s="1"/>
      <c r="Y67" s="1"/>
      <c r="Z67" s="1"/>
      <c r="AA67" s="1"/>
      <c r="AB67" s="1"/>
    </row>
    <row r="68" spans="1:28" ht="32" x14ac:dyDescent="0.2">
      <c r="A68" s="72"/>
      <c r="B68" s="17">
        <v>67</v>
      </c>
      <c r="C68" s="6" t="s">
        <v>24</v>
      </c>
      <c r="D68" s="18" t="s">
        <v>206</v>
      </c>
      <c r="E68" s="15" t="s">
        <v>207</v>
      </c>
      <c r="F68" s="15" t="s">
        <v>208</v>
      </c>
      <c r="G68" s="16" t="s">
        <v>35</v>
      </c>
      <c r="H68" s="16" t="s">
        <v>51</v>
      </c>
      <c r="I68" s="16" t="s">
        <v>52</v>
      </c>
      <c r="J68" s="15" t="s">
        <v>51</v>
      </c>
      <c r="K68" s="15" t="s">
        <v>52</v>
      </c>
      <c r="L68" s="15" t="s">
        <v>53</v>
      </c>
      <c r="M68" s="1"/>
      <c r="N68" s="1"/>
      <c r="O68" s="1"/>
      <c r="P68" s="1"/>
      <c r="Q68" s="1"/>
      <c r="R68" s="1"/>
      <c r="S68" s="1"/>
      <c r="T68" s="1"/>
      <c r="U68" s="1"/>
      <c r="V68" s="1"/>
      <c r="W68" s="1"/>
      <c r="X68" s="1"/>
      <c r="Y68" s="1"/>
      <c r="Z68" s="1"/>
      <c r="AA68" s="1"/>
      <c r="AB68" s="1"/>
    </row>
    <row r="69" spans="1:28" ht="14.25" customHeight="1" x14ac:dyDescent="0.2">
      <c r="A69" s="72"/>
      <c r="B69" s="17">
        <v>68</v>
      </c>
      <c r="C69" s="6" t="s">
        <v>24</v>
      </c>
      <c r="D69" s="6" t="s">
        <v>209</v>
      </c>
      <c r="E69" s="15" t="s">
        <v>210</v>
      </c>
      <c r="F69" s="15" t="s">
        <v>209</v>
      </c>
      <c r="G69" s="16" t="s">
        <v>65</v>
      </c>
      <c r="H69" s="16" t="s">
        <v>36</v>
      </c>
      <c r="I69" s="16" t="s">
        <v>51</v>
      </c>
      <c r="J69" s="15" t="s">
        <v>51</v>
      </c>
      <c r="K69" s="15" t="s">
        <v>51</v>
      </c>
      <c r="L69" s="15"/>
      <c r="M69" s="1"/>
      <c r="N69" s="1"/>
      <c r="O69" s="1"/>
      <c r="P69" s="1"/>
      <c r="Q69" s="1"/>
      <c r="R69" s="1"/>
      <c r="S69" s="1"/>
      <c r="T69" s="1"/>
      <c r="U69" s="1"/>
      <c r="V69" s="1"/>
      <c r="W69" s="1"/>
      <c r="X69" s="1"/>
      <c r="Y69" s="1"/>
      <c r="Z69" s="1"/>
      <c r="AA69" s="1"/>
      <c r="AB69" s="1"/>
    </row>
    <row r="70" spans="1:28" ht="14.25" customHeight="1" x14ac:dyDescent="0.2">
      <c r="A70" s="72"/>
      <c r="B70" s="17">
        <v>69</v>
      </c>
      <c r="C70" s="6" t="s">
        <v>24</v>
      </c>
      <c r="D70" s="6" t="s">
        <v>211</v>
      </c>
      <c r="E70" s="15" t="s">
        <v>212</v>
      </c>
      <c r="F70" s="15" t="s">
        <v>213</v>
      </c>
      <c r="G70" s="16" t="s">
        <v>65</v>
      </c>
      <c r="H70" s="16" t="s">
        <v>36</v>
      </c>
      <c r="I70" s="16" t="s">
        <v>51</v>
      </c>
      <c r="J70" s="15" t="s">
        <v>51</v>
      </c>
      <c r="K70" s="15" t="s">
        <v>51</v>
      </c>
      <c r="L70" s="15"/>
      <c r="M70" s="1"/>
      <c r="N70" s="1"/>
      <c r="O70" s="1"/>
      <c r="P70" s="1"/>
      <c r="Q70" s="1"/>
      <c r="R70" s="1"/>
      <c r="S70" s="1"/>
      <c r="T70" s="1"/>
      <c r="U70" s="1"/>
      <c r="V70" s="1"/>
      <c r="W70" s="1"/>
      <c r="X70" s="1"/>
      <c r="Y70" s="1"/>
      <c r="Z70" s="1"/>
      <c r="AA70" s="1"/>
      <c r="AB70" s="1"/>
    </row>
    <row r="71" spans="1:28" ht="14.25" customHeight="1" x14ac:dyDescent="0.2">
      <c r="A71" s="72"/>
      <c r="B71" s="17">
        <v>70</v>
      </c>
      <c r="C71" s="6" t="s">
        <v>24</v>
      </c>
      <c r="D71" s="18" t="s">
        <v>214</v>
      </c>
      <c r="E71" s="15" t="s">
        <v>215</v>
      </c>
      <c r="F71" s="15" t="s">
        <v>216</v>
      </c>
      <c r="G71" s="16" t="s">
        <v>35</v>
      </c>
      <c r="H71" s="16" t="s">
        <v>51</v>
      </c>
      <c r="I71" s="16" t="s">
        <v>52</v>
      </c>
      <c r="J71" s="15" t="s">
        <v>51</v>
      </c>
      <c r="K71" s="15" t="s">
        <v>52</v>
      </c>
      <c r="L71" s="15"/>
      <c r="M71" s="1"/>
      <c r="N71" s="1"/>
      <c r="O71" s="1"/>
      <c r="P71" s="1"/>
      <c r="Q71" s="1"/>
      <c r="R71" s="1"/>
      <c r="S71" s="1"/>
      <c r="T71" s="1"/>
      <c r="U71" s="1"/>
      <c r="V71" s="1"/>
      <c r="W71" s="1"/>
      <c r="X71" s="1"/>
      <c r="Y71" s="1"/>
      <c r="Z71" s="1"/>
      <c r="AA71" s="1"/>
      <c r="AB71" s="1"/>
    </row>
    <row r="72" spans="1:28" ht="14.25" customHeight="1" x14ac:dyDescent="0.2">
      <c r="A72" s="72"/>
      <c r="B72" s="17">
        <v>71</v>
      </c>
      <c r="C72" s="6" t="s">
        <v>24</v>
      </c>
      <c r="D72" s="6" t="s">
        <v>217</v>
      </c>
      <c r="E72" s="15" t="s">
        <v>218</v>
      </c>
      <c r="F72" s="15" t="s">
        <v>217</v>
      </c>
      <c r="G72" s="16" t="s">
        <v>65</v>
      </c>
      <c r="H72" s="16" t="s">
        <v>36</v>
      </c>
      <c r="I72" s="16" t="s">
        <v>51</v>
      </c>
      <c r="J72" s="15" t="s">
        <v>51</v>
      </c>
      <c r="K72" s="15" t="s">
        <v>51</v>
      </c>
      <c r="L72" s="15"/>
      <c r="M72" s="1"/>
      <c r="N72" s="1"/>
      <c r="O72" s="1"/>
      <c r="P72" s="1"/>
      <c r="Q72" s="1"/>
      <c r="R72" s="1"/>
      <c r="S72" s="1"/>
      <c r="T72" s="1"/>
      <c r="U72" s="1"/>
      <c r="V72" s="1"/>
      <c r="W72" s="1"/>
      <c r="X72" s="1"/>
      <c r="Y72" s="1"/>
      <c r="Z72" s="1"/>
      <c r="AA72" s="1"/>
      <c r="AB72" s="1"/>
    </row>
    <row r="73" spans="1:28" ht="14.25" customHeight="1" x14ac:dyDescent="0.2">
      <c r="A73" s="72"/>
      <c r="B73" s="17">
        <v>72</v>
      </c>
      <c r="C73" s="6" t="s">
        <v>24</v>
      </c>
      <c r="D73" s="18" t="s">
        <v>219</v>
      </c>
      <c r="E73" s="15" t="s">
        <v>220</v>
      </c>
      <c r="F73" s="15" t="s">
        <v>221</v>
      </c>
      <c r="G73" s="16" t="s">
        <v>57</v>
      </c>
      <c r="H73" s="16" t="s">
        <v>37</v>
      </c>
      <c r="I73" s="16" t="s">
        <v>52</v>
      </c>
      <c r="J73" s="15" t="s">
        <v>51</v>
      </c>
      <c r="K73" s="15" t="s">
        <v>52</v>
      </c>
      <c r="L73" s="15"/>
      <c r="M73" s="1"/>
      <c r="N73" s="1"/>
      <c r="O73" s="1"/>
      <c r="P73" s="1"/>
      <c r="Q73" s="1"/>
      <c r="R73" s="1"/>
      <c r="S73" s="1"/>
      <c r="T73" s="1"/>
      <c r="U73" s="1"/>
      <c r="V73" s="1"/>
      <c r="W73" s="1"/>
      <c r="X73" s="1"/>
      <c r="Y73" s="1"/>
      <c r="Z73" s="1"/>
      <c r="AA73" s="1"/>
      <c r="AB73" s="1"/>
    </row>
    <row r="74" spans="1:28" ht="14.25" customHeight="1" x14ac:dyDescent="0.2">
      <c r="A74" s="72"/>
      <c r="B74" s="17">
        <v>73</v>
      </c>
      <c r="C74" s="6" t="s">
        <v>24</v>
      </c>
      <c r="D74" s="18" t="s">
        <v>222</v>
      </c>
      <c r="E74" s="15" t="s">
        <v>223</v>
      </c>
      <c r="F74" s="15" t="s">
        <v>224</v>
      </c>
      <c r="G74" s="16" t="s">
        <v>35</v>
      </c>
      <c r="H74" s="16" t="s">
        <v>51</v>
      </c>
      <c r="I74" s="16" t="s">
        <v>52</v>
      </c>
      <c r="J74" s="15" t="s">
        <v>51</v>
      </c>
      <c r="K74" s="15" t="s">
        <v>52</v>
      </c>
      <c r="L74" s="15" t="s">
        <v>53</v>
      </c>
      <c r="M74" s="1"/>
      <c r="N74" s="1"/>
      <c r="O74" s="1"/>
      <c r="P74" s="1"/>
      <c r="Q74" s="1"/>
      <c r="R74" s="1"/>
      <c r="S74" s="1"/>
      <c r="T74" s="1"/>
      <c r="U74" s="1"/>
      <c r="V74" s="1"/>
      <c r="W74" s="1"/>
      <c r="X74" s="1"/>
      <c r="Y74" s="1"/>
      <c r="Z74" s="1"/>
      <c r="AA74" s="1"/>
      <c r="AB74" s="1"/>
    </row>
    <row r="75" spans="1:28" ht="14.25" customHeight="1" x14ac:dyDescent="0.2">
      <c r="A75" s="72"/>
      <c r="B75" s="17">
        <v>74</v>
      </c>
      <c r="C75" s="6" t="s">
        <v>24</v>
      </c>
      <c r="D75" s="18" t="s">
        <v>225</v>
      </c>
      <c r="E75" s="15" t="s">
        <v>226</v>
      </c>
      <c r="F75" s="15" t="s">
        <v>227</v>
      </c>
      <c r="G75" s="16" t="s">
        <v>35</v>
      </c>
      <c r="H75" s="16" t="s">
        <v>51</v>
      </c>
      <c r="I75" s="16" t="s">
        <v>52</v>
      </c>
      <c r="J75" s="15" t="s">
        <v>51</v>
      </c>
      <c r="K75" s="15" t="s">
        <v>52</v>
      </c>
      <c r="L75" s="15"/>
      <c r="M75" s="1"/>
      <c r="N75" s="1"/>
      <c r="O75" s="1"/>
      <c r="P75" s="1"/>
      <c r="Q75" s="1"/>
      <c r="R75" s="1"/>
      <c r="S75" s="1"/>
      <c r="T75" s="1"/>
      <c r="U75" s="1"/>
      <c r="V75" s="1"/>
      <c r="W75" s="1"/>
      <c r="X75" s="1"/>
      <c r="Y75" s="1"/>
      <c r="Z75" s="1"/>
      <c r="AA75" s="1"/>
      <c r="AB75" s="1"/>
    </row>
    <row r="76" spans="1:28" ht="48" x14ac:dyDescent="0.2">
      <c r="A76" s="72"/>
      <c r="B76" s="17">
        <v>75</v>
      </c>
      <c r="C76" s="6" t="s">
        <v>24</v>
      </c>
      <c r="D76" s="18" t="s">
        <v>228</v>
      </c>
      <c r="E76" s="15" t="s">
        <v>229</v>
      </c>
      <c r="F76" s="15" t="s">
        <v>230</v>
      </c>
      <c r="G76" s="16" t="s">
        <v>35</v>
      </c>
      <c r="H76" s="16" t="s">
        <v>51</v>
      </c>
      <c r="I76" s="16" t="s">
        <v>52</v>
      </c>
      <c r="J76" s="15" t="s">
        <v>51</v>
      </c>
      <c r="K76" s="15" t="s">
        <v>52</v>
      </c>
      <c r="L76" s="15"/>
      <c r="M76" s="1"/>
      <c r="N76" s="1"/>
      <c r="O76" s="1"/>
      <c r="P76" s="1"/>
      <c r="Q76" s="1"/>
      <c r="R76" s="1"/>
      <c r="S76" s="1"/>
      <c r="T76" s="1"/>
      <c r="U76" s="1"/>
      <c r="V76" s="1"/>
      <c r="W76" s="1"/>
      <c r="X76" s="1"/>
      <c r="Y76" s="1"/>
      <c r="Z76" s="1"/>
      <c r="AA76" s="1"/>
      <c r="AB76" s="1"/>
    </row>
    <row r="77" spans="1:28" ht="14.25" customHeight="1" x14ac:dyDescent="0.2">
      <c r="A77" s="72"/>
      <c r="B77" s="17">
        <v>76</v>
      </c>
      <c r="C77" s="6" t="s">
        <v>24</v>
      </c>
      <c r="D77" s="6" t="s">
        <v>231</v>
      </c>
      <c r="E77" s="15" t="s">
        <v>232</v>
      </c>
      <c r="F77" s="15" t="s">
        <v>231</v>
      </c>
      <c r="G77" s="16" t="s">
        <v>65</v>
      </c>
      <c r="H77" s="16" t="s">
        <v>51</v>
      </c>
      <c r="I77" s="16" t="s">
        <v>52</v>
      </c>
      <c r="J77" s="15" t="s">
        <v>51</v>
      </c>
      <c r="K77" s="15" t="s">
        <v>52</v>
      </c>
      <c r="L77" s="15" t="s">
        <v>66</v>
      </c>
      <c r="M77" s="1"/>
      <c r="N77" s="1"/>
      <c r="O77" s="1"/>
      <c r="P77" s="1"/>
      <c r="Q77" s="1"/>
      <c r="R77" s="1"/>
      <c r="S77" s="1"/>
      <c r="T77" s="1"/>
      <c r="U77" s="1"/>
      <c r="V77" s="1"/>
      <c r="W77" s="1"/>
      <c r="X77" s="1"/>
      <c r="Y77" s="1"/>
      <c r="Z77" s="1"/>
      <c r="AA77" s="1"/>
      <c r="AB77" s="1"/>
    </row>
    <row r="78" spans="1:28" ht="14.25" customHeight="1" x14ac:dyDescent="0.2">
      <c r="A78" s="72"/>
      <c r="B78" s="17">
        <v>77</v>
      </c>
      <c r="C78" s="6" t="s">
        <v>24</v>
      </c>
      <c r="D78" s="6" t="s">
        <v>233</v>
      </c>
      <c r="E78" s="15" t="s">
        <v>234</v>
      </c>
      <c r="F78" s="15" t="s">
        <v>235</v>
      </c>
      <c r="G78" s="16" t="s">
        <v>65</v>
      </c>
      <c r="H78" s="16" t="s">
        <v>36</v>
      </c>
      <c r="I78" s="16" t="s">
        <v>51</v>
      </c>
      <c r="J78" s="15" t="s">
        <v>51</v>
      </c>
      <c r="K78" s="15" t="s">
        <v>51</v>
      </c>
      <c r="L78" s="15"/>
      <c r="M78" s="1"/>
      <c r="N78" s="1"/>
      <c r="O78" s="1"/>
      <c r="P78" s="1"/>
      <c r="Q78" s="1"/>
      <c r="R78" s="1"/>
      <c r="S78" s="1"/>
      <c r="T78" s="1"/>
      <c r="U78" s="1"/>
      <c r="V78" s="1"/>
      <c r="W78" s="1"/>
      <c r="X78" s="1"/>
      <c r="Y78" s="1"/>
      <c r="Z78" s="1"/>
      <c r="AA78" s="1"/>
      <c r="AB78" s="1"/>
    </row>
    <row r="79" spans="1:28" ht="16" x14ac:dyDescent="0.2">
      <c r="A79" s="72"/>
      <c r="B79" s="17">
        <v>78</v>
      </c>
      <c r="C79" s="6" t="s">
        <v>24</v>
      </c>
      <c r="D79" s="18" t="s">
        <v>236</v>
      </c>
      <c r="E79" s="15" t="s">
        <v>237</v>
      </c>
      <c r="F79" s="15" t="s">
        <v>238</v>
      </c>
      <c r="G79" s="16" t="s">
        <v>65</v>
      </c>
      <c r="H79" s="16" t="s">
        <v>36</v>
      </c>
      <c r="I79" s="16" t="s">
        <v>51</v>
      </c>
      <c r="J79" s="15" t="s">
        <v>51</v>
      </c>
      <c r="K79" s="15" t="s">
        <v>51</v>
      </c>
      <c r="L79" s="15"/>
      <c r="M79" s="1"/>
      <c r="N79" s="1"/>
      <c r="O79" s="1"/>
      <c r="P79" s="1"/>
      <c r="Q79" s="1"/>
      <c r="R79" s="1"/>
      <c r="S79" s="1"/>
      <c r="T79" s="1"/>
      <c r="U79" s="1"/>
      <c r="V79" s="1"/>
      <c r="W79" s="1"/>
      <c r="X79" s="1"/>
      <c r="Y79" s="1"/>
      <c r="Z79" s="1"/>
      <c r="AA79" s="1"/>
      <c r="AB79" s="1"/>
    </row>
    <row r="80" spans="1:28" ht="14.25" customHeight="1" x14ac:dyDescent="0.2">
      <c r="A80" s="72"/>
      <c r="B80" s="17">
        <v>79</v>
      </c>
      <c r="C80" s="6" t="s">
        <v>24</v>
      </c>
      <c r="D80" s="6" t="s">
        <v>239</v>
      </c>
      <c r="E80" s="15" t="s">
        <v>240</v>
      </c>
      <c r="F80" s="15" t="s">
        <v>241</v>
      </c>
      <c r="G80" s="16" t="s">
        <v>65</v>
      </c>
      <c r="H80" s="16" t="s">
        <v>36</v>
      </c>
      <c r="I80" s="16" t="s">
        <v>51</v>
      </c>
      <c r="J80" s="15" t="s">
        <v>51</v>
      </c>
      <c r="K80" s="15" t="s">
        <v>51</v>
      </c>
      <c r="L80" s="15"/>
      <c r="M80" s="1"/>
      <c r="N80" s="1"/>
      <c r="O80" s="1"/>
      <c r="P80" s="1"/>
      <c r="Q80" s="1"/>
      <c r="R80" s="1"/>
      <c r="S80" s="1"/>
      <c r="T80" s="1"/>
      <c r="U80" s="1"/>
      <c r="V80" s="1"/>
      <c r="W80" s="1"/>
      <c r="X80" s="1"/>
      <c r="Y80" s="1"/>
      <c r="Z80" s="1"/>
      <c r="AA80" s="1"/>
      <c r="AB80" s="1"/>
    </row>
    <row r="81" spans="1:28" ht="14.25" customHeight="1" x14ac:dyDescent="0.2">
      <c r="A81" s="72"/>
      <c r="B81" s="17">
        <v>80</v>
      </c>
      <c r="C81" s="6" t="s">
        <v>24</v>
      </c>
      <c r="D81" s="6" t="s">
        <v>242</v>
      </c>
      <c r="E81" s="15" t="s">
        <v>243</v>
      </c>
      <c r="F81" s="15" t="s">
        <v>242</v>
      </c>
      <c r="G81" s="16" t="s">
        <v>65</v>
      </c>
      <c r="H81" s="16" t="s">
        <v>36</v>
      </c>
      <c r="I81" s="16" t="s">
        <v>51</v>
      </c>
      <c r="J81" s="15" t="s">
        <v>51</v>
      </c>
      <c r="K81" s="15" t="s">
        <v>51</v>
      </c>
      <c r="L81" s="15"/>
      <c r="M81" s="1"/>
      <c r="N81" s="1"/>
      <c r="O81" s="1"/>
      <c r="P81" s="1"/>
      <c r="Q81" s="1"/>
      <c r="R81" s="1"/>
      <c r="S81" s="1"/>
      <c r="T81" s="1"/>
      <c r="U81" s="1"/>
      <c r="V81" s="1"/>
      <c r="W81" s="1"/>
      <c r="X81" s="1"/>
      <c r="Y81" s="1"/>
      <c r="Z81" s="1"/>
      <c r="AA81" s="1"/>
      <c r="AB81" s="1"/>
    </row>
    <row r="82" spans="1:28" ht="14.25" customHeight="1" x14ac:dyDescent="0.2">
      <c r="A82" s="72"/>
      <c r="B82" s="17">
        <v>81</v>
      </c>
      <c r="C82" s="6" t="s">
        <v>24</v>
      </c>
      <c r="D82" s="6" t="s">
        <v>244</v>
      </c>
      <c r="E82" s="15" t="s">
        <v>245</v>
      </c>
      <c r="F82" s="15" t="s">
        <v>246</v>
      </c>
      <c r="G82" s="16" t="s">
        <v>57</v>
      </c>
      <c r="H82" s="16" t="s">
        <v>37</v>
      </c>
      <c r="I82" s="16" t="s">
        <v>52</v>
      </c>
      <c r="J82" s="15" t="s">
        <v>51</v>
      </c>
      <c r="K82" s="15" t="s">
        <v>52</v>
      </c>
      <c r="L82" s="15"/>
      <c r="M82" s="1"/>
      <c r="N82" s="1"/>
      <c r="O82" s="1"/>
      <c r="P82" s="1"/>
      <c r="Q82" s="1"/>
      <c r="R82" s="1"/>
      <c r="S82" s="1"/>
      <c r="T82" s="1"/>
      <c r="U82" s="1"/>
      <c r="V82" s="1"/>
      <c r="W82" s="1"/>
      <c r="X82" s="1"/>
      <c r="Y82" s="1"/>
      <c r="Z82" s="1"/>
      <c r="AA82" s="1"/>
      <c r="AB82" s="1"/>
    </row>
    <row r="83" spans="1:28" ht="14.25" customHeight="1" x14ac:dyDescent="0.2">
      <c r="A83" s="72"/>
      <c r="B83" s="17">
        <v>82</v>
      </c>
      <c r="C83" s="6" t="s">
        <v>24</v>
      </c>
      <c r="D83" s="6" t="s">
        <v>247</v>
      </c>
      <c r="E83" s="15" t="s">
        <v>248</v>
      </c>
      <c r="F83" s="15" t="s">
        <v>249</v>
      </c>
      <c r="G83" s="16" t="s">
        <v>57</v>
      </c>
      <c r="H83" s="16" t="s">
        <v>37</v>
      </c>
      <c r="I83" s="16" t="s">
        <v>52</v>
      </c>
      <c r="J83" s="15" t="s">
        <v>51</v>
      </c>
      <c r="K83" s="15" t="s">
        <v>52</v>
      </c>
      <c r="L83" s="15"/>
      <c r="M83" s="1"/>
      <c r="N83" s="1"/>
      <c r="O83" s="1"/>
      <c r="P83" s="1"/>
      <c r="Q83" s="1"/>
      <c r="R83" s="1"/>
      <c r="S83" s="1"/>
      <c r="T83" s="1"/>
      <c r="U83" s="1"/>
      <c r="V83" s="1"/>
      <c r="W83" s="1"/>
      <c r="X83" s="1"/>
      <c r="Y83" s="1"/>
      <c r="Z83" s="1"/>
      <c r="AA83" s="1"/>
      <c r="AB83" s="1"/>
    </row>
    <row r="84" spans="1:28" ht="14.25" customHeight="1" x14ac:dyDescent="0.2">
      <c r="A84" s="72"/>
      <c r="B84" s="17">
        <v>83</v>
      </c>
      <c r="C84" s="6" t="s">
        <v>24</v>
      </c>
      <c r="D84" s="6" t="s">
        <v>250</v>
      </c>
      <c r="E84" s="15" t="s">
        <v>251</v>
      </c>
      <c r="F84" s="15" t="s">
        <v>250</v>
      </c>
      <c r="G84" s="16" t="s">
        <v>65</v>
      </c>
      <c r="H84" s="16" t="s">
        <v>36</v>
      </c>
      <c r="I84" s="16" t="s">
        <v>51</v>
      </c>
      <c r="J84" s="15" t="s">
        <v>51</v>
      </c>
      <c r="K84" s="15" t="s">
        <v>51</v>
      </c>
      <c r="L84" s="15"/>
      <c r="M84" s="1"/>
      <c r="N84" s="1"/>
      <c r="O84" s="1"/>
      <c r="P84" s="1"/>
      <c r="Q84" s="1"/>
      <c r="R84" s="1"/>
      <c r="S84" s="1"/>
      <c r="T84" s="1"/>
      <c r="U84" s="1"/>
      <c r="V84" s="1"/>
      <c r="W84" s="1"/>
      <c r="X84" s="1"/>
      <c r="Y84" s="1"/>
      <c r="Z84" s="1"/>
      <c r="AA84" s="1"/>
      <c r="AB84" s="1"/>
    </row>
    <row r="85" spans="1:28" ht="14.25" customHeight="1" x14ac:dyDescent="0.2">
      <c r="A85" s="72"/>
      <c r="B85" s="17">
        <v>84</v>
      </c>
      <c r="C85" s="6" t="s">
        <v>24</v>
      </c>
      <c r="D85" s="6" t="s">
        <v>252</v>
      </c>
      <c r="E85" s="15" t="s">
        <v>253</v>
      </c>
      <c r="F85" s="15" t="s">
        <v>252</v>
      </c>
      <c r="G85" s="16" t="s">
        <v>35</v>
      </c>
      <c r="H85" s="16" t="s">
        <v>36</v>
      </c>
      <c r="I85" s="16" t="s">
        <v>37</v>
      </c>
      <c r="J85" s="15" t="s">
        <v>51</v>
      </c>
      <c r="K85" s="15" t="s">
        <v>51</v>
      </c>
      <c r="L85" s="15"/>
      <c r="M85" s="1"/>
      <c r="N85" s="1"/>
      <c r="O85" s="1"/>
      <c r="P85" s="1"/>
      <c r="Q85" s="1"/>
      <c r="R85" s="1"/>
      <c r="S85" s="1"/>
      <c r="T85" s="1"/>
      <c r="U85" s="1"/>
      <c r="V85" s="1"/>
      <c r="W85" s="1"/>
      <c r="X85" s="1"/>
      <c r="Y85" s="1"/>
      <c r="Z85" s="1"/>
      <c r="AA85" s="1"/>
      <c r="AB85" s="1"/>
    </row>
    <row r="86" spans="1:28" ht="14.25" customHeight="1" x14ac:dyDescent="0.2">
      <c r="A86" s="72"/>
      <c r="B86" s="17">
        <v>85</v>
      </c>
      <c r="C86" s="6" t="s">
        <v>24</v>
      </c>
      <c r="D86" s="18" t="s">
        <v>254</v>
      </c>
      <c r="E86" s="15" t="s">
        <v>255</v>
      </c>
      <c r="F86" s="15" t="s">
        <v>256</v>
      </c>
      <c r="G86" s="16" t="s">
        <v>57</v>
      </c>
      <c r="H86" s="16" t="s">
        <v>51</v>
      </c>
      <c r="I86" s="16" t="s">
        <v>52</v>
      </c>
      <c r="J86" s="15" t="s">
        <v>51</v>
      </c>
      <c r="K86" s="15" t="s">
        <v>52</v>
      </c>
      <c r="L86" s="15" t="s">
        <v>257</v>
      </c>
      <c r="M86" s="1"/>
      <c r="N86" s="1"/>
      <c r="O86" s="1"/>
      <c r="P86" s="1"/>
      <c r="Q86" s="1"/>
      <c r="R86" s="1"/>
      <c r="S86" s="1"/>
      <c r="T86" s="1"/>
      <c r="U86" s="1"/>
      <c r="V86" s="1"/>
      <c r="W86" s="1"/>
      <c r="X86" s="1"/>
      <c r="Y86" s="1"/>
      <c r="Z86" s="1"/>
      <c r="AA86" s="1"/>
      <c r="AB86" s="1"/>
    </row>
    <row r="87" spans="1:28" ht="14.25" customHeight="1" x14ac:dyDescent="0.2">
      <c r="A87" s="72"/>
      <c r="B87" s="17">
        <v>86</v>
      </c>
      <c r="C87" s="6" t="s">
        <v>24</v>
      </c>
      <c r="D87" s="6" t="s">
        <v>258</v>
      </c>
      <c r="E87" s="15" t="s">
        <v>259</v>
      </c>
      <c r="F87" s="15" t="s">
        <v>260</v>
      </c>
      <c r="G87" s="16" t="s">
        <v>35</v>
      </c>
      <c r="H87" s="16" t="s">
        <v>51</v>
      </c>
      <c r="I87" s="16" t="s">
        <v>52</v>
      </c>
      <c r="J87" s="15" t="s">
        <v>51</v>
      </c>
      <c r="K87" s="15" t="s">
        <v>52</v>
      </c>
      <c r="L87" s="15"/>
      <c r="M87" s="1"/>
      <c r="N87" s="1"/>
      <c r="O87" s="1"/>
      <c r="P87" s="1"/>
      <c r="Q87" s="1"/>
      <c r="R87" s="1"/>
      <c r="S87" s="1"/>
      <c r="T87" s="1"/>
      <c r="U87" s="1"/>
      <c r="V87" s="1"/>
      <c r="W87" s="1"/>
      <c r="X87" s="1"/>
      <c r="Y87" s="1"/>
      <c r="Z87" s="1"/>
      <c r="AA87" s="1"/>
      <c r="AB87" s="1"/>
    </row>
    <row r="88" spans="1:28" ht="14.25" customHeight="1" x14ac:dyDescent="0.2">
      <c r="A88" s="72"/>
      <c r="B88" s="17">
        <v>87</v>
      </c>
      <c r="C88" s="6" t="s">
        <v>24</v>
      </c>
      <c r="D88" s="6" t="s">
        <v>261</v>
      </c>
      <c r="E88" s="15" t="s">
        <v>262</v>
      </c>
      <c r="F88" s="15" t="s">
        <v>263</v>
      </c>
      <c r="G88" s="16" t="s">
        <v>35</v>
      </c>
      <c r="H88" s="16" t="s">
        <v>51</v>
      </c>
      <c r="I88" s="16" t="s">
        <v>52</v>
      </c>
      <c r="J88" s="15" t="s">
        <v>51</v>
      </c>
      <c r="K88" s="15" t="s">
        <v>52</v>
      </c>
      <c r="L88" s="15"/>
      <c r="M88" s="1"/>
      <c r="N88" s="1"/>
      <c r="O88" s="1"/>
      <c r="P88" s="1"/>
      <c r="Q88" s="1"/>
      <c r="R88" s="1"/>
      <c r="S88" s="1"/>
      <c r="T88" s="1"/>
      <c r="U88" s="1"/>
      <c r="V88" s="1"/>
      <c r="W88" s="1"/>
      <c r="X88" s="1"/>
      <c r="Y88" s="1"/>
      <c r="Z88" s="1"/>
      <c r="AA88" s="1"/>
      <c r="AB88" s="1"/>
    </row>
    <row r="89" spans="1:28" ht="14.25" customHeight="1" x14ac:dyDescent="0.2">
      <c r="A89" s="72"/>
      <c r="B89" s="17">
        <v>88</v>
      </c>
      <c r="C89" s="6" t="s">
        <v>24</v>
      </c>
      <c r="D89" s="6" t="s">
        <v>264</v>
      </c>
      <c r="E89" s="15" t="s">
        <v>265</v>
      </c>
      <c r="F89" s="15" t="s">
        <v>266</v>
      </c>
      <c r="G89" s="16" t="s">
        <v>35</v>
      </c>
      <c r="H89" s="16" t="s">
        <v>51</v>
      </c>
      <c r="I89" s="16" t="s">
        <v>52</v>
      </c>
      <c r="J89" s="15" t="s">
        <v>51</v>
      </c>
      <c r="K89" s="15" t="s">
        <v>52</v>
      </c>
      <c r="L89" s="15"/>
      <c r="M89" s="1"/>
      <c r="N89" s="1"/>
      <c r="O89" s="1"/>
      <c r="P89" s="1"/>
      <c r="Q89" s="1"/>
      <c r="R89" s="1"/>
      <c r="S89" s="1"/>
      <c r="T89" s="1"/>
      <c r="U89" s="1"/>
      <c r="V89" s="1"/>
      <c r="W89" s="1"/>
      <c r="X89" s="1"/>
      <c r="Y89" s="1"/>
      <c r="Z89" s="1"/>
      <c r="AA89" s="1"/>
      <c r="AB89" s="1"/>
    </row>
    <row r="90" spans="1:28" ht="144" x14ac:dyDescent="0.2">
      <c r="A90" s="72"/>
      <c r="B90" s="17">
        <v>89</v>
      </c>
      <c r="C90" s="6" t="s">
        <v>24</v>
      </c>
      <c r="D90" s="18" t="s">
        <v>267</v>
      </c>
      <c r="E90" s="15" t="s">
        <v>268</v>
      </c>
      <c r="F90" s="15" t="s">
        <v>269</v>
      </c>
      <c r="G90" s="16" t="s">
        <v>35</v>
      </c>
      <c r="H90" s="16" t="s">
        <v>51</v>
      </c>
      <c r="I90" s="16" t="s">
        <v>52</v>
      </c>
      <c r="J90" s="15" t="s">
        <v>51</v>
      </c>
      <c r="K90" s="15" t="s">
        <v>52</v>
      </c>
      <c r="L90" s="15"/>
      <c r="M90" s="1"/>
      <c r="N90" s="1"/>
      <c r="O90" s="1"/>
      <c r="P90" s="1"/>
      <c r="Q90" s="1"/>
      <c r="R90" s="1"/>
      <c r="S90" s="1"/>
      <c r="T90" s="1"/>
      <c r="U90" s="1"/>
      <c r="V90" s="1"/>
      <c r="W90" s="1"/>
      <c r="X90" s="1"/>
      <c r="Y90" s="1"/>
      <c r="Z90" s="1"/>
      <c r="AA90" s="1"/>
      <c r="AB90" s="1"/>
    </row>
    <row r="91" spans="1:28" ht="14.25" customHeight="1" x14ac:dyDescent="0.2">
      <c r="A91" s="72"/>
      <c r="B91" s="17">
        <v>90</v>
      </c>
      <c r="C91" s="6" t="s">
        <v>24</v>
      </c>
      <c r="D91" s="6" t="s">
        <v>270</v>
      </c>
      <c r="E91" s="15" t="s">
        <v>271</v>
      </c>
      <c r="F91" s="15" t="s">
        <v>270</v>
      </c>
      <c r="G91" s="16" t="s">
        <v>35</v>
      </c>
      <c r="H91" s="16" t="s">
        <v>51</v>
      </c>
      <c r="I91" s="16" t="s">
        <v>52</v>
      </c>
      <c r="J91" s="15" t="s">
        <v>51</v>
      </c>
      <c r="K91" s="15" t="s">
        <v>52</v>
      </c>
      <c r="L91" s="15"/>
      <c r="M91" s="1"/>
      <c r="N91" s="1"/>
      <c r="O91" s="1"/>
      <c r="P91" s="1"/>
      <c r="Q91" s="1"/>
      <c r="R91" s="1"/>
      <c r="S91" s="1"/>
      <c r="T91" s="1"/>
      <c r="U91" s="1"/>
      <c r="V91" s="1"/>
      <c r="W91" s="1"/>
      <c r="X91" s="1"/>
      <c r="Y91" s="1"/>
      <c r="Z91" s="1"/>
      <c r="AA91" s="1"/>
      <c r="AB91" s="1"/>
    </row>
    <row r="92" spans="1:28" ht="14.25" customHeight="1" x14ac:dyDescent="0.2">
      <c r="A92" s="72"/>
      <c r="B92" s="17">
        <v>91</v>
      </c>
      <c r="C92" s="6" t="s">
        <v>24</v>
      </c>
      <c r="D92" s="6" t="s">
        <v>272</v>
      </c>
      <c r="E92" s="15" t="s">
        <v>273</v>
      </c>
      <c r="F92" s="15" t="s">
        <v>274</v>
      </c>
      <c r="G92" s="16" t="s">
        <v>65</v>
      </c>
      <c r="H92" s="16" t="s">
        <v>36</v>
      </c>
      <c r="I92" s="16" t="s">
        <v>51</v>
      </c>
      <c r="J92" s="15" t="s">
        <v>51</v>
      </c>
      <c r="K92" s="15" t="s">
        <v>51</v>
      </c>
      <c r="L92" s="15"/>
      <c r="M92" s="1"/>
      <c r="N92" s="1"/>
      <c r="O92" s="1"/>
      <c r="P92" s="1"/>
      <c r="Q92" s="1"/>
      <c r="R92" s="1"/>
      <c r="S92" s="1"/>
      <c r="T92" s="1"/>
      <c r="U92" s="1"/>
      <c r="V92" s="1"/>
      <c r="W92" s="1"/>
      <c r="X92" s="1"/>
      <c r="Y92" s="1"/>
      <c r="Z92" s="1"/>
      <c r="AA92" s="1"/>
      <c r="AB92" s="1"/>
    </row>
    <row r="93" spans="1:28" ht="14.25" customHeight="1" x14ac:dyDescent="0.2">
      <c r="A93" s="72"/>
      <c r="B93" s="17">
        <v>92</v>
      </c>
      <c r="C93" s="6" t="s">
        <v>24</v>
      </c>
      <c r="D93" s="6" t="s">
        <v>275</v>
      </c>
      <c r="E93" s="15" t="s">
        <v>276</v>
      </c>
      <c r="F93" s="15" t="s">
        <v>277</v>
      </c>
      <c r="G93" s="16" t="s">
        <v>35</v>
      </c>
      <c r="H93" s="16" t="s">
        <v>51</v>
      </c>
      <c r="I93" s="16" t="s">
        <v>52</v>
      </c>
      <c r="J93" s="15" t="s">
        <v>51</v>
      </c>
      <c r="K93" s="15" t="s">
        <v>52</v>
      </c>
      <c r="L93" s="15"/>
      <c r="M93" s="1"/>
      <c r="N93" s="1"/>
      <c r="O93" s="1"/>
      <c r="P93" s="1"/>
      <c r="Q93" s="1"/>
      <c r="R93" s="1"/>
      <c r="S93" s="1"/>
      <c r="T93" s="1"/>
      <c r="U93" s="1"/>
      <c r="V93" s="1"/>
      <c r="W93" s="1"/>
      <c r="X93" s="1"/>
      <c r="Y93" s="1"/>
      <c r="Z93" s="1"/>
      <c r="AA93" s="1"/>
      <c r="AB93" s="1"/>
    </row>
    <row r="94" spans="1:28" ht="14.25" customHeight="1" x14ac:dyDescent="0.2">
      <c r="A94" s="72"/>
      <c r="B94" s="17">
        <v>93</v>
      </c>
      <c r="C94" s="6" t="s">
        <v>24</v>
      </c>
      <c r="D94" s="6" t="s">
        <v>278</v>
      </c>
      <c r="E94" s="15" t="s">
        <v>279</v>
      </c>
      <c r="F94" s="15" t="s">
        <v>278</v>
      </c>
      <c r="G94" s="16" t="s">
        <v>65</v>
      </c>
      <c r="H94" s="16" t="s">
        <v>36</v>
      </c>
      <c r="I94" s="16" t="s">
        <v>51</v>
      </c>
      <c r="J94" s="15" t="s">
        <v>51</v>
      </c>
      <c r="K94" s="15" t="s">
        <v>51</v>
      </c>
      <c r="L94" s="15"/>
      <c r="M94" s="1"/>
      <c r="N94" s="1"/>
      <c r="O94" s="1"/>
      <c r="P94" s="1"/>
      <c r="Q94" s="1"/>
      <c r="R94" s="1"/>
      <c r="S94" s="1"/>
      <c r="T94" s="1"/>
      <c r="U94" s="1"/>
      <c r="V94" s="1"/>
      <c r="W94" s="1"/>
      <c r="X94" s="1"/>
      <c r="Y94" s="1"/>
      <c r="Z94" s="1"/>
      <c r="AA94" s="1"/>
      <c r="AB94" s="1"/>
    </row>
    <row r="95" spans="1:28" ht="14.25" customHeight="1" x14ac:dyDescent="0.2">
      <c r="A95" s="72"/>
      <c r="B95" s="17">
        <v>94</v>
      </c>
      <c r="C95" s="6" t="s">
        <v>24</v>
      </c>
      <c r="D95" s="6" t="s">
        <v>280</v>
      </c>
      <c r="E95" s="15" t="s">
        <v>281</v>
      </c>
      <c r="F95" s="15" t="s">
        <v>280</v>
      </c>
      <c r="G95" s="16" t="s">
        <v>65</v>
      </c>
      <c r="H95" s="16" t="s">
        <v>36</v>
      </c>
      <c r="I95" s="16" t="s">
        <v>51</v>
      </c>
      <c r="J95" s="15" t="s">
        <v>51</v>
      </c>
      <c r="K95" s="15" t="s">
        <v>51</v>
      </c>
      <c r="L95" s="15"/>
      <c r="M95" s="1"/>
      <c r="N95" s="1"/>
      <c r="O95" s="1"/>
      <c r="P95" s="1"/>
      <c r="Q95" s="1"/>
      <c r="R95" s="1"/>
      <c r="S95" s="1"/>
      <c r="T95" s="1"/>
      <c r="U95" s="1"/>
      <c r="V95" s="1"/>
      <c r="W95" s="1"/>
      <c r="X95" s="1"/>
      <c r="Y95" s="1"/>
      <c r="Z95" s="1"/>
      <c r="AA95" s="1"/>
      <c r="AB95" s="1"/>
    </row>
    <row r="96" spans="1:28" ht="14.25" customHeight="1" x14ac:dyDescent="0.2">
      <c r="A96" s="72"/>
      <c r="B96" s="17">
        <v>95</v>
      </c>
      <c r="C96" s="6" t="s">
        <v>24</v>
      </c>
      <c r="D96" s="6" t="s">
        <v>282</v>
      </c>
      <c r="E96" s="15" t="s">
        <v>283</v>
      </c>
      <c r="F96" s="15" t="s">
        <v>282</v>
      </c>
      <c r="G96" s="16" t="s">
        <v>65</v>
      </c>
      <c r="H96" s="16" t="s">
        <v>36</v>
      </c>
      <c r="I96" s="16" t="s">
        <v>51</v>
      </c>
      <c r="J96" s="15" t="s">
        <v>51</v>
      </c>
      <c r="K96" s="15" t="s">
        <v>51</v>
      </c>
      <c r="L96" s="15"/>
      <c r="M96" s="1"/>
      <c r="N96" s="1"/>
      <c r="O96" s="1"/>
      <c r="P96" s="1"/>
      <c r="Q96" s="1"/>
      <c r="R96" s="1"/>
      <c r="S96" s="1"/>
      <c r="T96" s="1"/>
      <c r="U96" s="1"/>
      <c r="V96" s="1"/>
      <c r="W96" s="1"/>
      <c r="X96" s="1"/>
      <c r="Y96" s="1"/>
      <c r="Z96" s="1"/>
      <c r="AA96" s="1"/>
      <c r="AB96" s="1"/>
    </row>
    <row r="97" spans="1:28" ht="14.25" customHeight="1" x14ac:dyDescent="0.2">
      <c r="A97" s="72"/>
      <c r="B97" s="17">
        <v>96</v>
      </c>
      <c r="C97" s="6" t="s">
        <v>24</v>
      </c>
      <c r="D97" s="6" t="s">
        <v>284</v>
      </c>
      <c r="E97" s="15" t="s">
        <v>285</v>
      </c>
      <c r="F97" s="15" t="s">
        <v>284</v>
      </c>
      <c r="G97" s="16" t="s">
        <v>65</v>
      </c>
      <c r="H97" s="16" t="s">
        <v>36</v>
      </c>
      <c r="I97" s="16" t="s">
        <v>51</v>
      </c>
      <c r="J97" s="15" t="s">
        <v>51</v>
      </c>
      <c r="K97" s="15" t="s">
        <v>51</v>
      </c>
      <c r="L97" s="15"/>
      <c r="M97" s="1"/>
      <c r="N97" s="1"/>
      <c r="O97" s="1"/>
      <c r="P97" s="1"/>
      <c r="Q97" s="1"/>
      <c r="R97" s="1"/>
      <c r="S97" s="1"/>
      <c r="T97" s="1"/>
      <c r="U97" s="1"/>
      <c r="V97" s="1"/>
      <c r="W97" s="1"/>
      <c r="X97" s="1"/>
      <c r="Y97" s="1"/>
      <c r="Z97" s="1"/>
      <c r="AA97" s="1"/>
      <c r="AB97" s="1"/>
    </row>
    <row r="98" spans="1:28" ht="64" x14ac:dyDescent="0.2">
      <c r="A98" s="72"/>
      <c r="B98" s="17">
        <v>97</v>
      </c>
      <c r="C98" s="6" t="s">
        <v>24</v>
      </c>
      <c r="D98" s="18" t="s">
        <v>286</v>
      </c>
      <c r="E98" s="15" t="s">
        <v>287</v>
      </c>
      <c r="F98" s="15" t="s">
        <v>288</v>
      </c>
      <c r="G98" s="16" t="s">
        <v>57</v>
      </c>
      <c r="H98" s="16" t="s">
        <v>51</v>
      </c>
      <c r="I98" s="16" t="s">
        <v>52</v>
      </c>
      <c r="J98" s="15" t="s">
        <v>51</v>
      </c>
      <c r="K98" s="15" t="s">
        <v>52</v>
      </c>
      <c r="L98" s="15" t="s">
        <v>257</v>
      </c>
      <c r="M98" s="1"/>
      <c r="N98" s="1"/>
      <c r="O98" s="1"/>
      <c r="P98" s="1"/>
      <c r="Q98" s="1"/>
      <c r="R98" s="1"/>
      <c r="S98" s="1"/>
      <c r="T98" s="1"/>
      <c r="U98" s="1"/>
      <c r="V98" s="1"/>
      <c r="W98" s="1"/>
      <c r="X98" s="1"/>
      <c r="Y98" s="1"/>
      <c r="Z98" s="1"/>
      <c r="AA98" s="1"/>
      <c r="AB98" s="1"/>
    </row>
    <row r="99" spans="1:28" ht="14.25" customHeight="1" x14ac:dyDescent="0.2">
      <c r="A99" s="72"/>
      <c r="B99" s="17">
        <v>98</v>
      </c>
      <c r="C99" s="6" t="s">
        <v>24</v>
      </c>
      <c r="D99" s="6" t="s">
        <v>289</v>
      </c>
      <c r="E99" s="15" t="s">
        <v>290</v>
      </c>
      <c r="F99" s="15" t="s">
        <v>289</v>
      </c>
      <c r="G99" s="16" t="s">
        <v>65</v>
      </c>
      <c r="H99" s="16" t="s">
        <v>51</v>
      </c>
      <c r="I99" s="16" t="s">
        <v>52</v>
      </c>
      <c r="J99" s="15" t="s">
        <v>51</v>
      </c>
      <c r="K99" s="15" t="s">
        <v>52</v>
      </c>
      <c r="L99" s="15" t="s">
        <v>66</v>
      </c>
      <c r="M99" s="1"/>
      <c r="N99" s="1"/>
      <c r="O99" s="1"/>
      <c r="P99" s="1"/>
      <c r="Q99" s="1"/>
      <c r="R99" s="1"/>
      <c r="S99" s="1"/>
      <c r="T99" s="1"/>
      <c r="U99" s="1"/>
      <c r="V99" s="1"/>
      <c r="W99" s="1"/>
      <c r="X99" s="1"/>
      <c r="Y99" s="1"/>
      <c r="Z99" s="1"/>
      <c r="AA99" s="1"/>
      <c r="AB99" s="1"/>
    </row>
    <row r="100" spans="1:28" ht="14.25" customHeight="1" x14ac:dyDescent="0.2">
      <c r="A100" s="72"/>
      <c r="B100" s="17">
        <v>99</v>
      </c>
      <c r="C100" s="6" t="s">
        <v>24</v>
      </c>
      <c r="D100" s="6" t="s">
        <v>291</v>
      </c>
      <c r="E100" s="15" t="s">
        <v>292</v>
      </c>
      <c r="F100" s="15" t="s">
        <v>293</v>
      </c>
      <c r="G100" s="16" t="s">
        <v>57</v>
      </c>
      <c r="H100" s="16" t="s">
        <v>51</v>
      </c>
      <c r="I100" s="16" t="s">
        <v>52</v>
      </c>
      <c r="J100" s="15" t="s">
        <v>51</v>
      </c>
      <c r="K100" s="15" t="s">
        <v>52</v>
      </c>
      <c r="L100" s="15"/>
      <c r="M100" s="1"/>
      <c r="N100" s="1"/>
      <c r="O100" s="1"/>
      <c r="P100" s="1"/>
      <c r="Q100" s="1"/>
      <c r="R100" s="1"/>
      <c r="S100" s="1"/>
      <c r="T100" s="1"/>
      <c r="U100" s="1"/>
      <c r="V100" s="1"/>
      <c r="W100" s="1"/>
      <c r="X100" s="1"/>
      <c r="Y100" s="1"/>
      <c r="Z100" s="1"/>
      <c r="AA100" s="1"/>
      <c r="AB100" s="1"/>
    </row>
    <row r="101" spans="1:28" ht="14.25" customHeight="1" x14ac:dyDescent="0.2">
      <c r="A101" s="72"/>
      <c r="B101" s="17">
        <v>100</v>
      </c>
      <c r="C101" s="6" t="s">
        <v>24</v>
      </c>
      <c r="D101" s="6" t="s">
        <v>294</v>
      </c>
      <c r="E101" s="15" t="s">
        <v>295</v>
      </c>
      <c r="F101" s="15" t="s">
        <v>294</v>
      </c>
      <c r="G101" s="16" t="s">
        <v>65</v>
      </c>
      <c r="H101" s="16" t="s">
        <v>36</v>
      </c>
      <c r="I101" s="16" t="s">
        <v>51</v>
      </c>
      <c r="J101" s="15" t="s">
        <v>51</v>
      </c>
      <c r="K101" s="15" t="s">
        <v>51</v>
      </c>
      <c r="L101" s="15"/>
      <c r="M101" s="1"/>
      <c r="N101" s="1"/>
      <c r="O101" s="1"/>
      <c r="P101" s="1"/>
      <c r="Q101" s="1"/>
      <c r="R101" s="1"/>
      <c r="S101" s="1"/>
      <c r="T101" s="1"/>
      <c r="U101" s="1"/>
      <c r="V101" s="1"/>
      <c r="W101" s="1"/>
      <c r="X101" s="1"/>
      <c r="Y101" s="1"/>
      <c r="Z101" s="1"/>
      <c r="AA101" s="1"/>
      <c r="AB101" s="1"/>
    </row>
    <row r="102" spans="1:28" ht="14.25" customHeight="1" x14ac:dyDescent="0.2">
      <c r="A102" s="72"/>
      <c r="B102" s="17">
        <v>101</v>
      </c>
      <c r="C102" s="6" t="s">
        <v>24</v>
      </c>
      <c r="D102" s="6" t="s">
        <v>296</v>
      </c>
      <c r="E102" s="15" t="s">
        <v>297</v>
      </c>
      <c r="F102" s="15" t="s">
        <v>296</v>
      </c>
      <c r="G102" s="16" t="s">
        <v>65</v>
      </c>
      <c r="H102" s="16" t="s">
        <v>36</v>
      </c>
      <c r="I102" s="16" t="s">
        <v>51</v>
      </c>
      <c r="J102" s="15" t="s">
        <v>51</v>
      </c>
      <c r="K102" s="15" t="s">
        <v>51</v>
      </c>
      <c r="L102" s="15"/>
      <c r="M102" s="1"/>
      <c r="N102" s="1"/>
      <c r="O102" s="1"/>
      <c r="P102" s="1"/>
      <c r="Q102" s="1"/>
      <c r="R102" s="1"/>
      <c r="S102" s="1"/>
      <c r="T102" s="1"/>
      <c r="U102" s="1"/>
      <c r="V102" s="1"/>
      <c r="W102" s="1"/>
      <c r="X102" s="1"/>
      <c r="Y102" s="1"/>
      <c r="Z102" s="1"/>
      <c r="AA102" s="1"/>
      <c r="AB102" s="1"/>
    </row>
    <row r="103" spans="1:28" ht="14.25" customHeight="1" x14ac:dyDescent="0.2">
      <c r="A103" s="72"/>
      <c r="B103" s="17">
        <v>102</v>
      </c>
      <c r="C103" s="6" t="s">
        <v>24</v>
      </c>
      <c r="D103" s="6" t="s">
        <v>298</v>
      </c>
      <c r="E103" s="15" t="s">
        <v>299</v>
      </c>
      <c r="F103" s="15" t="s">
        <v>298</v>
      </c>
      <c r="G103" s="16" t="s">
        <v>65</v>
      </c>
      <c r="H103" s="16" t="s">
        <v>36</v>
      </c>
      <c r="I103" s="16" t="s">
        <v>51</v>
      </c>
      <c r="J103" s="15" t="s">
        <v>51</v>
      </c>
      <c r="K103" s="15" t="s">
        <v>51</v>
      </c>
      <c r="L103" s="15"/>
      <c r="M103" s="1"/>
      <c r="N103" s="1"/>
      <c r="O103" s="1"/>
      <c r="P103" s="1"/>
      <c r="Q103" s="1"/>
      <c r="R103" s="1"/>
      <c r="S103" s="1"/>
      <c r="T103" s="1"/>
      <c r="U103" s="1"/>
      <c r="V103" s="1"/>
      <c r="W103" s="1"/>
      <c r="X103" s="1"/>
      <c r="Y103" s="1"/>
      <c r="Z103" s="1"/>
      <c r="AA103" s="1"/>
      <c r="AB103" s="1"/>
    </row>
    <row r="104" spans="1:28" ht="80" x14ac:dyDescent="0.2">
      <c r="A104" s="72"/>
      <c r="B104" s="17">
        <v>103</v>
      </c>
      <c r="C104" s="6" t="s">
        <v>24</v>
      </c>
      <c r="D104" s="18" t="s">
        <v>300</v>
      </c>
      <c r="E104" s="15" t="s">
        <v>301</v>
      </c>
      <c r="F104" s="15" t="s">
        <v>302</v>
      </c>
      <c r="G104" s="16" t="s">
        <v>35</v>
      </c>
      <c r="H104" s="16" t="s">
        <v>51</v>
      </c>
      <c r="I104" s="16" t="s">
        <v>52</v>
      </c>
      <c r="J104" s="15" t="s">
        <v>51</v>
      </c>
      <c r="K104" s="15" t="s">
        <v>52</v>
      </c>
      <c r="L104" s="15"/>
      <c r="M104" s="1"/>
      <c r="N104" s="1"/>
      <c r="O104" s="1"/>
      <c r="P104" s="1"/>
      <c r="Q104" s="1"/>
      <c r="R104" s="1"/>
      <c r="S104" s="1"/>
      <c r="T104" s="1"/>
      <c r="U104" s="1"/>
      <c r="V104" s="1"/>
      <c r="W104" s="1"/>
      <c r="X104" s="1"/>
      <c r="Y104" s="1"/>
      <c r="Z104" s="1"/>
      <c r="AA104" s="1"/>
      <c r="AB104" s="1"/>
    </row>
    <row r="105" spans="1:28" ht="14.25" customHeight="1" x14ac:dyDescent="0.2">
      <c r="A105" s="72"/>
      <c r="B105" s="17">
        <v>104</v>
      </c>
      <c r="C105" s="6" t="s">
        <v>24</v>
      </c>
      <c r="D105" s="6" t="s">
        <v>303</v>
      </c>
      <c r="E105" s="15" t="s">
        <v>304</v>
      </c>
      <c r="F105" s="15" t="s">
        <v>305</v>
      </c>
      <c r="G105" s="16" t="s">
        <v>57</v>
      </c>
      <c r="H105" s="16" t="s">
        <v>36</v>
      </c>
      <c r="I105" s="16" t="s">
        <v>37</v>
      </c>
      <c r="J105" s="15" t="s">
        <v>51</v>
      </c>
      <c r="K105" s="15" t="s">
        <v>51</v>
      </c>
      <c r="L105" s="15"/>
      <c r="M105" s="1"/>
      <c r="N105" s="1"/>
      <c r="O105" s="1"/>
      <c r="P105" s="1"/>
      <c r="Q105" s="1"/>
      <c r="R105" s="1"/>
      <c r="S105" s="1"/>
      <c r="T105" s="1"/>
      <c r="U105" s="1"/>
      <c r="V105" s="1"/>
      <c r="W105" s="1"/>
      <c r="X105" s="1"/>
      <c r="Y105" s="1"/>
      <c r="Z105" s="1"/>
      <c r="AA105" s="1"/>
      <c r="AB105" s="1"/>
    </row>
    <row r="106" spans="1:28" ht="27.75" customHeight="1" x14ac:dyDescent="0.2">
      <c r="A106" s="72"/>
      <c r="B106" s="17">
        <v>105</v>
      </c>
      <c r="C106" s="6" t="s">
        <v>24</v>
      </c>
      <c r="D106" s="6" t="s">
        <v>306</v>
      </c>
      <c r="E106" s="15" t="s">
        <v>307</v>
      </c>
      <c r="F106" s="15" t="s">
        <v>308</v>
      </c>
      <c r="G106" s="16" t="s">
        <v>65</v>
      </c>
      <c r="H106" s="16" t="s">
        <v>36</v>
      </c>
      <c r="I106" s="16" t="s">
        <v>51</v>
      </c>
      <c r="J106" s="15" t="s">
        <v>51</v>
      </c>
      <c r="K106" s="15" t="s">
        <v>51</v>
      </c>
      <c r="L106" s="15" t="s">
        <v>309</v>
      </c>
      <c r="M106" s="1"/>
      <c r="N106" s="1"/>
      <c r="O106" s="1"/>
      <c r="P106" s="1"/>
      <c r="Q106" s="1"/>
      <c r="R106" s="1"/>
      <c r="S106" s="1"/>
      <c r="T106" s="1"/>
      <c r="U106" s="1"/>
      <c r="V106" s="1"/>
      <c r="W106" s="1"/>
      <c r="X106" s="1"/>
      <c r="Y106" s="1"/>
      <c r="Z106" s="1"/>
      <c r="AA106" s="1"/>
      <c r="AB106" s="1"/>
    </row>
    <row r="107" spans="1:28" ht="16" x14ac:dyDescent="0.2">
      <c r="A107" s="72"/>
      <c r="B107" s="17">
        <v>106</v>
      </c>
      <c r="C107" s="6" t="s">
        <v>24</v>
      </c>
      <c r="D107" s="18" t="s">
        <v>310</v>
      </c>
      <c r="E107" s="15" t="s">
        <v>311</v>
      </c>
      <c r="F107" s="15" t="s">
        <v>312</v>
      </c>
      <c r="G107" s="16" t="s">
        <v>65</v>
      </c>
      <c r="H107" s="16" t="s">
        <v>51</v>
      </c>
      <c r="I107" s="16" t="s">
        <v>52</v>
      </c>
      <c r="J107" s="15" t="s">
        <v>51</v>
      </c>
      <c r="K107" s="15" t="s">
        <v>52</v>
      </c>
      <c r="L107" s="15"/>
      <c r="M107" s="1"/>
      <c r="N107" s="1"/>
      <c r="O107" s="1"/>
      <c r="P107" s="1"/>
      <c r="Q107" s="1"/>
      <c r="R107" s="1"/>
      <c r="S107" s="1"/>
      <c r="T107" s="1"/>
      <c r="U107" s="1"/>
      <c r="V107" s="1"/>
      <c r="W107" s="1"/>
      <c r="X107" s="1"/>
      <c r="Y107" s="1"/>
      <c r="Z107" s="1"/>
      <c r="AA107" s="1"/>
      <c r="AB107" s="1"/>
    </row>
    <row r="108" spans="1:28" ht="14.25" customHeight="1" x14ac:dyDescent="0.2">
      <c r="A108" s="72"/>
      <c r="B108" s="17">
        <v>107</v>
      </c>
      <c r="C108" s="6" t="s">
        <v>24</v>
      </c>
      <c r="D108" s="6" t="s">
        <v>313</v>
      </c>
      <c r="E108" s="15" t="s">
        <v>314</v>
      </c>
      <c r="F108" s="15" t="s">
        <v>315</v>
      </c>
      <c r="G108" s="16" t="s">
        <v>65</v>
      </c>
      <c r="H108" s="16" t="s">
        <v>51</v>
      </c>
      <c r="I108" s="16" t="s">
        <v>52</v>
      </c>
      <c r="J108" s="15" t="s">
        <v>51</v>
      </c>
      <c r="K108" s="15" t="s">
        <v>52</v>
      </c>
      <c r="L108" s="15"/>
      <c r="M108" s="1"/>
      <c r="N108" s="1"/>
      <c r="O108" s="1"/>
      <c r="P108" s="1"/>
      <c r="Q108" s="1"/>
      <c r="R108" s="1"/>
      <c r="S108" s="1"/>
      <c r="T108" s="1"/>
      <c r="U108" s="1"/>
      <c r="V108" s="1"/>
      <c r="W108" s="1"/>
      <c r="X108" s="1"/>
      <c r="Y108" s="1"/>
      <c r="Z108" s="1"/>
      <c r="AA108" s="1"/>
      <c r="AB108" s="1"/>
    </row>
    <row r="109" spans="1:28" ht="14.25" customHeight="1" x14ac:dyDescent="0.2">
      <c r="A109" s="72"/>
      <c r="B109" s="17">
        <v>108</v>
      </c>
      <c r="C109" s="6" t="s">
        <v>24</v>
      </c>
      <c r="D109" s="6" t="s">
        <v>316</v>
      </c>
      <c r="E109" s="15" t="s">
        <v>317</v>
      </c>
      <c r="F109" s="15" t="s">
        <v>316</v>
      </c>
      <c r="G109" s="16" t="s">
        <v>65</v>
      </c>
      <c r="H109" s="16" t="s">
        <v>51</v>
      </c>
      <c r="I109" s="16" t="s">
        <v>52</v>
      </c>
      <c r="J109" s="15" t="s">
        <v>51</v>
      </c>
      <c r="K109" s="15" t="s">
        <v>52</v>
      </c>
      <c r="L109" s="15"/>
      <c r="M109" s="1"/>
      <c r="N109" s="1"/>
      <c r="O109" s="1"/>
      <c r="P109" s="1"/>
      <c r="Q109" s="1"/>
      <c r="R109" s="1"/>
      <c r="S109" s="1"/>
      <c r="T109" s="1"/>
      <c r="U109" s="1"/>
      <c r="V109" s="1"/>
      <c r="W109" s="1"/>
      <c r="X109" s="1"/>
      <c r="Y109" s="1"/>
      <c r="Z109" s="1"/>
      <c r="AA109" s="1"/>
      <c r="AB109" s="1"/>
    </row>
    <row r="110" spans="1:28" ht="32.25" customHeight="1" x14ac:dyDescent="0.2">
      <c r="A110" s="72"/>
      <c r="B110" s="17">
        <v>109</v>
      </c>
      <c r="C110" s="6" t="s">
        <v>24</v>
      </c>
      <c r="D110" s="18" t="s">
        <v>318</v>
      </c>
      <c r="E110" s="15" t="s">
        <v>319</v>
      </c>
      <c r="F110" s="15" t="s">
        <v>320</v>
      </c>
      <c r="G110" s="16" t="s">
        <v>65</v>
      </c>
      <c r="H110" s="16" t="s">
        <v>36</v>
      </c>
      <c r="I110" s="16" t="s">
        <v>51</v>
      </c>
      <c r="J110" s="15" t="s">
        <v>51</v>
      </c>
      <c r="K110" s="15" t="s">
        <v>51</v>
      </c>
      <c r="L110" s="15"/>
      <c r="M110" s="1"/>
      <c r="N110" s="1"/>
      <c r="O110" s="1"/>
      <c r="P110" s="1"/>
      <c r="Q110" s="1"/>
      <c r="R110" s="1"/>
      <c r="S110" s="1"/>
      <c r="T110" s="1"/>
      <c r="U110" s="1"/>
      <c r="V110" s="1"/>
      <c r="W110" s="1"/>
      <c r="X110" s="1"/>
      <c r="Y110" s="1"/>
      <c r="Z110" s="1"/>
      <c r="AA110" s="1"/>
      <c r="AB110" s="1"/>
    </row>
    <row r="111" spans="1:28" ht="14.25" customHeight="1" x14ac:dyDescent="0.2">
      <c r="A111" s="72"/>
      <c r="B111" s="17">
        <v>110</v>
      </c>
      <c r="C111" s="6" t="s">
        <v>24</v>
      </c>
      <c r="D111" s="6" t="s">
        <v>321</v>
      </c>
      <c r="E111" s="15" t="s">
        <v>322</v>
      </c>
      <c r="F111" s="15" t="s">
        <v>323</v>
      </c>
      <c r="G111" s="16" t="s">
        <v>65</v>
      </c>
      <c r="H111" s="16" t="s">
        <v>36</v>
      </c>
      <c r="I111" s="16" t="s">
        <v>51</v>
      </c>
      <c r="J111" s="15" t="s">
        <v>51</v>
      </c>
      <c r="K111" s="15" t="s">
        <v>51</v>
      </c>
      <c r="L111" s="15"/>
      <c r="M111" s="1"/>
      <c r="N111" s="1"/>
      <c r="O111" s="1"/>
      <c r="P111" s="1"/>
      <c r="Q111" s="1"/>
      <c r="R111" s="1"/>
      <c r="S111" s="1"/>
      <c r="T111" s="1"/>
      <c r="U111" s="1"/>
      <c r="V111" s="1"/>
      <c r="W111" s="1"/>
      <c r="X111" s="1"/>
      <c r="Y111" s="1"/>
      <c r="Z111" s="1"/>
      <c r="AA111" s="1"/>
      <c r="AB111" s="1"/>
    </row>
    <row r="112" spans="1:28" ht="14.25" customHeight="1" x14ac:dyDescent="0.2">
      <c r="A112" s="72"/>
      <c r="B112" s="17">
        <v>111</v>
      </c>
      <c r="C112" s="6" t="s">
        <v>24</v>
      </c>
      <c r="D112" s="6" t="s">
        <v>324</v>
      </c>
      <c r="E112" s="15" t="s">
        <v>325</v>
      </c>
      <c r="F112" s="15" t="s">
        <v>326</v>
      </c>
      <c r="G112" s="16" t="s">
        <v>65</v>
      </c>
      <c r="H112" s="16" t="s">
        <v>36</v>
      </c>
      <c r="I112" s="16" t="s">
        <v>51</v>
      </c>
      <c r="J112" s="15" t="s">
        <v>51</v>
      </c>
      <c r="K112" s="15" t="s">
        <v>51</v>
      </c>
      <c r="L112" s="15"/>
      <c r="M112" s="1"/>
      <c r="N112" s="1"/>
      <c r="O112" s="1"/>
      <c r="P112" s="1"/>
      <c r="Q112" s="1"/>
      <c r="R112" s="1"/>
      <c r="S112" s="1"/>
      <c r="T112" s="1"/>
      <c r="U112" s="1"/>
      <c r="V112" s="1"/>
      <c r="W112" s="1"/>
      <c r="X112" s="1"/>
      <c r="Y112" s="1"/>
      <c r="Z112" s="1"/>
      <c r="AA112" s="1"/>
      <c r="AB112" s="1"/>
    </row>
    <row r="113" spans="1:28" ht="14.25" customHeight="1" x14ac:dyDescent="0.2">
      <c r="A113" s="72"/>
      <c r="B113" s="17">
        <v>112</v>
      </c>
      <c r="C113" s="6" t="s">
        <v>24</v>
      </c>
      <c r="D113" s="6" t="s">
        <v>327</v>
      </c>
      <c r="E113" s="15" t="s">
        <v>328</v>
      </c>
      <c r="F113" s="15" t="s">
        <v>327</v>
      </c>
      <c r="G113" s="16" t="s">
        <v>65</v>
      </c>
      <c r="H113" s="16" t="s">
        <v>36</v>
      </c>
      <c r="I113" s="16" t="s">
        <v>51</v>
      </c>
      <c r="J113" s="15" t="s">
        <v>51</v>
      </c>
      <c r="K113" s="15" t="s">
        <v>51</v>
      </c>
      <c r="L113" s="15"/>
      <c r="M113" s="1"/>
      <c r="N113" s="1"/>
      <c r="O113" s="1"/>
      <c r="P113" s="1"/>
      <c r="Q113" s="1"/>
      <c r="R113" s="1"/>
      <c r="S113" s="1"/>
      <c r="T113" s="1"/>
      <c r="U113" s="1"/>
      <c r="V113" s="1"/>
      <c r="W113" s="1"/>
      <c r="X113" s="1"/>
      <c r="Y113" s="1"/>
      <c r="Z113" s="1"/>
      <c r="AA113" s="1"/>
      <c r="AB113" s="1"/>
    </row>
    <row r="114" spans="1:28" ht="14.25" customHeight="1" x14ac:dyDescent="0.2">
      <c r="A114" s="72"/>
      <c r="B114" s="17">
        <v>113</v>
      </c>
      <c r="C114" s="6" t="s">
        <v>24</v>
      </c>
      <c r="D114" s="18" t="s">
        <v>329</v>
      </c>
      <c r="E114" s="15" t="s">
        <v>330</v>
      </c>
      <c r="F114" s="15" t="s">
        <v>331</v>
      </c>
      <c r="G114" s="16" t="s">
        <v>65</v>
      </c>
      <c r="H114" s="16" t="s">
        <v>51</v>
      </c>
      <c r="I114" s="16" t="s">
        <v>52</v>
      </c>
      <c r="J114" s="15" t="s">
        <v>51</v>
      </c>
      <c r="K114" s="15" t="s">
        <v>52</v>
      </c>
      <c r="L114" s="15"/>
      <c r="M114" s="1"/>
      <c r="N114" s="1"/>
      <c r="O114" s="1"/>
      <c r="P114" s="1"/>
      <c r="Q114" s="1"/>
      <c r="R114" s="1"/>
      <c r="S114" s="1"/>
      <c r="T114" s="1"/>
      <c r="U114" s="1"/>
      <c r="V114" s="1"/>
      <c r="W114" s="1"/>
      <c r="X114" s="1"/>
      <c r="Y114" s="1"/>
      <c r="Z114" s="1"/>
      <c r="AA114" s="1"/>
      <c r="AB114" s="1"/>
    </row>
    <row r="115" spans="1:28" ht="14.25" customHeight="1" x14ac:dyDescent="0.2">
      <c r="A115" s="72"/>
      <c r="B115" s="17">
        <v>114</v>
      </c>
      <c r="C115" s="6" t="s">
        <v>24</v>
      </c>
      <c r="D115" s="18" t="s">
        <v>332</v>
      </c>
      <c r="E115" s="15" t="s">
        <v>333</v>
      </c>
      <c r="F115" s="15" t="s">
        <v>334</v>
      </c>
      <c r="G115" s="16" t="s">
        <v>65</v>
      </c>
      <c r="H115" s="16" t="s">
        <v>51</v>
      </c>
      <c r="I115" s="16" t="s">
        <v>52</v>
      </c>
      <c r="J115" s="15" t="s">
        <v>51</v>
      </c>
      <c r="K115" s="15" t="s">
        <v>52</v>
      </c>
      <c r="L115" s="15"/>
      <c r="M115" s="1"/>
      <c r="N115" s="1"/>
      <c r="O115" s="1"/>
      <c r="P115" s="1"/>
      <c r="Q115" s="1"/>
      <c r="R115" s="1"/>
      <c r="S115" s="1"/>
      <c r="T115" s="1"/>
      <c r="U115" s="1"/>
      <c r="V115" s="1"/>
      <c r="W115" s="1"/>
      <c r="X115" s="1"/>
      <c r="Y115" s="1"/>
      <c r="Z115" s="1"/>
      <c r="AA115" s="1"/>
      <c r="AB115" s="1"/>
    </row>
    <row r="116" spans="1:28" ht="14.25" customHeight="1" x14ac:dyDescent="0.2">
      <c r="A116" s="72"/>
      <c r="B116" s="17">
        <v>115</v>
      </c>
      <c r="C116" s="6" t="s">
        <v>24</v>
      </c>
      <c r="D116" s="6" t="s">
        <v>335</v>
      </c>
      <c r="E116" s="15" t="s">
        <v>336</v>
      </c>
      <c r="F116" s="15" t="s">
        <v>337</v>
      </c>
      <c r="G116" s="16" t="s">
        <v>65</v>
      </c>
      <c r="H116" s="16" t="s">
        <v>36</v>
      </c>
      <c r="I116" s="16" t="s">
        <v>51</v>
      </c>
      <c r="J116" s="15" t="s">
        <v>51</v>
      </c>
      <c r="K116" s="15" t="s">
        <v>51</v>
      </c>
      <c r="L116" s="15"/>
      <c r="M116" s="1"/>
      <c r="N116" s="1"/>
      <c r="O116" s="1"/>
      <c r="P116" s="1"/>
      <c r="Q116" s="1"/>
      <c r="R116" s="1"/>
      <c r="S116" s="1"/>
      <c r="T116" s="1"/>
      <c r="U116" s="1"/>
      <c r="V116" s="1"/>
      <c r="W116" s="1"/>
      <c r="X116" s="1"/>
      <c r="Y116" s="1"/>
      <c r="Z116" s="1"/>
      <c r="AA116" s="1"/>
      <c r="AB116" s="1"/>
    </row>
    <row r="117" spans="1:28" ht="14.25" customHeight="1" x14ac:dyDescent="0.2">
      <c r="A117" s="72"/>
      <c r="B117" s="17">
        <v>116</v>
      </c>
      <c r="C117" s="6" t="s">
        <v>24</v>
      </c>
      <c r="D117" s="6" t="s">
        <v>338</v>
      </c>
      <c r="E117" s="15" t="s">
        <v>339</v>
      </c>
      <c r="F117" s="15" t="s">
        <v>338</v>
      </c>
      <c r="G117" s="16" t="s">
        <v>65</v>
      </c>
      <c r="H117" s="16" t="s">
        <v>36</v>
      </c>
      <c r="I117" s="16" t="s">
        <v>51</v>
      </c>
      <c r="J117" s="15" t="s">
        <v>51</v>
      </c>
      <c r="K117" s="15" t="s">
        <v>51</v>
      </c>
      <c r="L117" s="15"/>
      <c r="M117" s="1"/>
      <c r="N117" s="1"/>
      <c r="O117" s="1"/>
      <c r="P117" s="1"/>
      <c r="Q117" s="1"/>
      <c r="R117" s="1"/>
      <c r="S117" s="1"/>
      <c r="T117" s="1"/>
      <c r="U117" s="1"/>
      <c r="V117" s="1"/>
      <c r="W117" s="1"/>
      <c r="X117" s="1"/>
      <c r="Y117" s="1"/>
      <c r="Z117" s="1"/>
      <c r="AA117" s="1"/>
      <c r="AB117" s="1"/>
    </row>
    <row r="118" spans="1:28" ht="14.25" customHeight="1" x14ac:dyDescent="0.2">
      <c r="A118" s="72"/>
      <c r="B118" s="17">
        <v>117</v>
      </c>
      <c r="C118" s="6" t="s">
        <v>24</v>
      </c>
      <c r="D118" s="6" t="s">
        <v>340</v>
      </c>
      <c r="E118" s="15" t="s">
        <v>341</v>
      </c>
      <c r="F118" s="15" t="s">
        <v>340</v>
      </c>
      <c r="G118" s="16" t="s">
        <v>65</v>
      </c>
      <c r="H118" s="16" t="s">
        <v>51</v>
      </c>
      <c r="I118" s="16" t="s">
        <v>52</v>
      </c>
      <c r="J118" s="15" t="s">
        <v>51</v>
      </c>
      <c r="K118" s="15" t="s">
        <v>52</v>
      </c>
      <c r="L118" s="15"/>
      <c r="M118" s="1"/>
      <c r="N118" s="1"/>
      <c r="O118" s="1"/>
      <c r="P118" s="1"/>
      <c r="Q118" s="1"/>
      <c r="R118" s="1"/>
      <c r="S118" s="1"/>
      <c r="T118" s="1"/>
      <c r="U118" s="1"/>
      <c r="V118" s="1"/>
      <c r="W118" s="1"/>
      <c r="X118" s="1"/>
      <c r="Y118" s="1"/>
      <c r="Z118" s="1"/>
      <c r="AA118" s="1"/>
      <c r="AB118" s="1"/>
    </row>
    <row r="119" spans="1:28" ht="14.25" customHeight="1" x14ac:dyDescent="0.2">
      <c r="A119" s="72"/>
      <c r="B119" s="17">
        <v>118</v>
      </c>
      <c r="C119" s="6" t="s">
        <v>24</v>
      </c>
      <c r="D119" s="18" t="s">
        <v>342</v>
      </c>
      <c r="E119" s="15" t="s">
        <v>343</v>
      </c>
      <c r="F119" s="15" t="s">
        <v>344</v>
      </c>
      <c r="G119" s="16" t="s">
        <v>345</v>
      </c>
      <c r="H119" s="16" t="s">
        <v>51</v>
      </c>
      <c r="I119" s="16" t="s">
        <v>52</v>
      </c>
      <c r="J119" s="15" t="s">
        <v>51</v>
      </c>
      <c r="K119" s="15" t="s">
        <v>52</v>
      </c>
      <c r="L119" s="15"/>
      <c r="M119" s="1"/>
      <c r="N119" s="1"/>
      <c r="O119" s="1"/>
      <c r="P119" s="1"/>
      <c r="Q119" s="1"/>
      <c r="R119" s="1"/>
      <c r="S119" s="1"/>
      <c r="T119" s="1"/>
      <c r="U119" s="1"/>
      <c r="V119" s="1"/>
      <c r="W119" s="1"/>
      <c r="X119" s="1"/>
      <c r="Y119" s="1"/>
      <c r="Z119" s="1"/>
      <c r="AA119" s="1"/>
      <c r="AB119" s="1"/>
    </row>
    <row r="120" spans="1:28" ht="14.25" customHeight="1" x14ac:dyDescent="0.2">
      <c r="A120" s="72"/>
      <c r="B120" s="17">
        <v>119</v>
      </c>
      <c r="C120" s="6" t="s">
        <v>24</v>
      </c>
      <c r="D120" s="18" t="s">
        <v>346</v>
      </c>
      <c r="E120" s="15" t="s">
        <v>347</v>
      </c>
      <c r="F120" s="15" t="s">
        <v>348</v>
      </c>
      <c r="G120" s="16" t="s">
        <v>65</v>
      </c>
      <c r="H120" s="16" t="s">
        <v>51</v>
      </c>
      <c r="I120" s="16" t="s">
        <v>52</v>
      </c>
      <c r="J120" s="15" t="s">
        <v>51</v>
      </c>
      <c r="K120" s="15" t="s">
        <v>52</v>
      </c>
      <c r="L120" s="15"/>
      <c r="M120" s="1"/>
      <c r="N120" s="1"/>
      <c r="O120" s="1"/>
      <c r="P120" s="1"/>
      <c r="Q120" s="1"/>
      <c r="R120" s="1"/>
      <c r="S120" s="1"/>
      <c r="T120" s="1"/>
      <c r="U120" s="1"/>
      <c r="V120" s="1"/>
      <c r="W120" s="1"/>
      <c r="X120" s="1"/>
      <c r="Y120" s="1"/>
      <c r="Z120" s="1"/>
      <c r="AA120" s="1"/>
      <c r="AB120" s="1"/>
    </row>
    <row r="121" spans="1:28" ht="14.25" customHeight="1" x14ac:dyDescent="0.2">
      <c r="A121" s="72"/>
      <c r="B121" s="17">
        <v>120</v>
      </c>
      <c r="C121" s="6" t="s">
        <v>24</v>
      </c>
      <c r="D121" s="6" t="s">
        <v>349</v>
      </c>
      <c r="E121" s="15" t="s">
        <v>350</v>
      </c>
      <c r="F121" s="15" t="s">
        <v>349</v>
      </c>
      <c r="G121" s="16" t="s">
        <v>65</v>
      </c>
      <c r="H121" s="16" t="s">
        <v>36</v>
      </c>
      <c r="I121" s="16" t="s">
        <v>51</v>
      </c>
      <c r="J121" s="15" t="s">
        <v>51</v>
      </c>
      <c r="K121" s="15" t="s">
        <v>51</v>
      </c>
      <c r="L121" s="15"/>
      <c r="M121" s="1"/>
      <c r="N121" s="1"/>
      <c r="O121" s="1"/>
      <c r="P121" s="1"/>
      <c r="Q121" s="1"/>
      <c r="R121" s="1"/>
      <c r="S121" s="1"/>
      <c r="T121" s="1"/>
      <c r="U121" s="1"/>
      <c r="V121" s="1"/>
      <c r="W121" s="1"/>
      <c r="X121" s="1"/>
      <c r="Y121" s="1"/>
      <c r="Z121" s="1"/>
      <c r="AA121" s="1"/>
      <c r="AB121" s="1"/>
    </row>
    <row r="122" spans="1:28" ht="14.25" customHeight="1" x14ac:dyDescent="0.2">
      <c r="A122" s="72"/>
      <c r="B122" s="17">
        <v>121</v>
      </c>
      <c r="C122" s="6" t="s">
        <v>24</v>
      </c>
      <c r="D122" s="6" t="s">
        <v>351</v>
      </c>
      <c r="E122" s="15" t="s">
        <v>352</v>
      </c>
      <c r="F122" s="15" t="s">
        <v>351</v>
      </c>
      <c r="G122" s="16" t="s">
        <v>65</v>
      </c>
      <c r="H122" s="16" t="s">
        <v>36</v>
      </c>
      <c r="I122" s="16" t="s">
        <v>51</v>
      </c>
      <c r="J122" s="15" t="s">
        <v>51</v>
      </c>
      <c r="K122" s="15" t="s">
        <v>51</v>
      </c>
      <c r="L122" s="15"/>
      <c r="M122" s="1"/>
      <c r="N122" s="1"/>
      <c r="O122" s="1"/>
      <c r="P122" s="1"/>
      <c r="Q122" s="1"/>
      <c r="R122" s="1"/>
      <c r="S122" s="1"/>
      <c r="T122" s="1"/>
      <c r="U122" s="1"/>
      <c r="V122" s="1"/>
      <c r="W122" s="1"/>
      <c r="X122" s="1"/>
      <c r="Y122" s="1"/>
      <c r="Z122" s="1"/>
      <c r="AA122" s="1"/>
      <c r="AB122" s="1"/>
    </row>
    <row r="123" spans="1:28" ht="14.25" customHeight="1" x14ac:dyDescent="0.2">
      <c r="A123" s="72"/>
      <c r="B123" s="17">
        <v>122</v>
      </c>
      <c r="C123" s="6" t="s">
        <v>24</v>
      </c>
      <c r="D123" s="18" t="s">
        <v>353</v>
      </c>
      <c r="E123" s="15" t="s">
        <v>354</v>
      </c>
      <c r="F123" s="15" t="s">
        <v>355</v>
      </c>
      <c r="G123" s="16" t="s">
        <v>65</v>
      </c>
      <c r="H123" s="16" t="s">
        <v>36</v>
      </c>
      <c r="I123" s="16" t="s">
        <v>51</v>
      </c>
      <c r="J123" s="15" t="s">
        <v>51</v>
      </c>
      <c r="K123" s="15" t="s">
        <v>51</v>
      </c>
      <c r="L123" s="15"/>
      <c r="M123" s="1"/>
      <c r="N123" s="1"/>
      <c r="O123" s="1"/>
      <c r="P123" s="1"/>
      <c r="Q123" s="1"/>
      <c r="R123" s="1"/>
      <c r="S123" s="1"/>
      <c r="T123" s="1"/>
      <c r="U123" s="1"/>
      <c r="V123" s="1"/>
      <c r="W123" s="1"/>
      <c r="X123" s="1"/>
      <c r="Y123" s="1"/>
      <c r="Z123" s="1"/>
      <c r="AA123" s="1"/>
      <c r="AB123" s="1"/>
    </row>
    <row r="124" spans="1:28" ht="14.25" customHeight="1" x14ac:dyDescent="0.2">
      <c r="A124" s="72"/>
      <c r="B124" s="17">
        <v>123</v>
      </c>
      <c r="C124" s="6" t="s">
        <v>24</v>
      </c>
      <c r="D124" s="6" t="s">
        <v>356</v>
      </c>
      <c r="E124" s="15" t="s">
        <v>357</v>
      </c>
      <c r="F124" s="15" t="s">
        <v>356</v>
      </c>
      <c r="G124" s="16" t="s">
        <v>65</v>
      </c>
      <c r="H124" s="16" t="s">
        <v>36</v>
      </c>
      <c r="I124" s="16" t="s">
        <v>51</v>
      </c>
      <c r="J124" s="15" t="s">
        <v>51</v>
      </c>
      <c r="K124" s="15" t="s">
        <v>51</v>
      </c>
      <c r="L124" s="15" t="s">
        <v>358</v>
      </c>
      <c r="M124" s="1"/>
      <c r="N124" s="1"/>
      <c r="O124" s="1"/>
      <c r="P124" s="1"/>
      <c r="Q124" s="1"/>
      <c r="R124" s="1"/>
      <c r="S124" s="1"/>
      <c r="T124" s="1"/>
      <c r="U124" s="1"/>
      <c r="V124" s="1"/>
      <c r="W124" s="1"/>
      <c r="X124" s="1"/>
      <c r="Y124" s="1"/>
      <c r="Z124" s="1"/>
      <c r="AA124" s="1"/>
      <c r="AB124" s="1"/>
    </row>
    <row r="125" spans="1:28" ht="14.25" customHeight="1" x14ac:dyDescent="0.2">
      <c r="A125" s="72"/>
      <c r="B125" s="17">
        <v>124</v>
      </c>
      <c r="C125" s="6" t="s">
        <v>24</v>
      </c>
      <c r="D125" s="18" t="s">
        <v>359</v>
      </c>
      <c r="E125" s="15" t="s">
        <v>360</v>
      </c>
      <c r="F125" s="15" t="s">
        <v>361</v>
      </c>
      <c r="G125" s="16" t="s">
        <v>65</v>
      </c>
      <c r="H125" s="16" t="s">
        <v>36</v>
      </c>
      <c r="I125" s="16" t="s">
        <v>51</v>
      </c>
      <c r="J125" s="15" t="s">
        <v>51</v>
      </c>
      <c r="K125" s="15" t="s">
        <v>51</v>
      </c>
      <c r="L125" s="15"/>
      <c r="M125" s="1"/>
      <c r="N125" s="1"/>
      <c r="O125" s="1"/>
      <c r="P125" s="1"/>
      <c r="Q125" s="1"/>
      <c r="R125" s="1"/>
      <c r="S125" s="1"/>
      <c r="T125" s="1"/>
      <c r="U125" s="1"/>
      <c r="V125" s="1"/>
      <c r="W125" s="1"/>
      <c r="X125" s="1"/>
      <c r="Y125" s="1"/>
      <c r="Z125" s="1"/>
      <c r="AA125" s="1"/>
      <c r="AB125" s="1"/>
    </row>
    <row r="126" spans="1:28" ht="14.25" customHeight="1" x14ac:dyDescent="0.2">
      <c r="A126" s="72"/>
      <c r="B126" s="17">
        <v>125</v>
      </c>
      <c r="C126" s="6" t="s">
        <v>24</v>
      </c>
      <c r="D126" s="6" t="s">
        <v>362</v>
      </c>
      <c r="E126" s="15" t="s">
        <v>363</v>
      </c>
      <c r="F126" s="15" t="s">
        <v>364</v>
      </c>
      <c r="G126" s="16" t="s">
        <v>65</v>
      </c>
      <c r="H126" s="16" t="s">
        <v>36</v>
      </c>
      <c r="I126" s="16" t="s">
        <v>51</v>
      </c>
      <c r="J126" s="15" t="s">
        <v>51</v>
      </c>
      <c r="K126" s="15" t="s">
        <v>51</v>
      </c>
      <c r="L126" s="15"/>
      <c r="M126" s="1"/>
      <c r="N126" s="1"/>
      <c r="O126" s="1"/>
      <c r="P126" s="1"/>
      <c r="Q126" s="1"/>
      <c r="R126" s="1"/>
      <c r="S126" s="1"/>
      <c r="T126" s="1"/>
      <c r="U126" s="1"/>
      <c r="V126" s="1"/>
      <c r="W126" s="1"/>
      <c r="X126" s="1"/>
      <c r="Y126" s="1"/>
      <c r="Z126" s="1"/>
      <c r="AA126" s="1"/>
      <c r="AB126" s="1"/>
    </row>
    <row r="127" spans="1:28" ht="14.25" customHeight="1" x14ac:dyDescent="0.2">
      <c r="A127" s="72"/>
      <c r="B127" s="17">
        <v>126</v>
      </c>
      <c r="C127" s="6" t="s">
        <v>24</v>
      </c>
      <c r="D127" s="6" t="s">
        <v>365</v>
      </c>
      <c r="E127" s="15" t="s">
        <v>366</v>
      </c>
      <c r="F127" s="15" t="s">
        <v>365</v>
      </c>
      <c r="G127" s="16" t="s">
        <v>65</v>
      </c>
      <c r="H127" s="16" t="s">
        <v>51</v>
      </c>
      <c r="I127" s="16" t="s">
        <v>52</v>
      </c>
      <c r="J127" s="15" t="s">
        <v>51</v>
      </c>
      <c r="K127" s="15" t="s">
        <v>52</v>
      </c>
      <c r="L127" s="15"/>
      <c r="M127" s="1"/>
      <c r="N127" s="1"/>
      <c r="O127" s="1"/>
      <c r="P127" s="1"/>
      <c r="Q127" s="1"/>
      <c r="R127" s="1"/>
      <c r="S127" s="1"/>
      <c r="T127" s="1"/>
      <c r="U127" s="1"/>
      <c r="V127" s="1"/>
      <c r="W127" s="1"/>
      <c r="X127" s="1"/>
      <c r="Y127" s="1"/>
      <c r="Z127" s="1"/>
      <c r="AA127" s="1"/>
      <c r="AB127" s="1"/>
    </row>
    <row r="128" spans="1:28" ht="14.25" customHeight="1" x14ac:dyDescent="0.2">
      <c r="A128" s="72"/>
      <c r="B128" s="17">
        <v>127</v>
      </c>
      <c r="C128" s="6" t="s">
        <v>24</v>
      </c>
      <c r="D128" s="6" t="s">
        <v>367</v>
      </c>
      <c r="E128" s="15" t="s">
        <v>368</v>
      </c>
      <c r="F128" s="15" t="s">
        <v>367</v>
      </c>
      <c r="G128" s="16" t="s">
        <v>65</v>
      </c>
      <c r="H128" s="16" t="s">
        <v>36</v>
      </c>
      <c r="I128" s="16" t="s">
        <v>51</v>
      </c>
      <c r="J128" s="15" t="s">
        <v>51</v>
      </c>
      <c r="K128" s="15" t="s">
        <v>51</v>
      </c>
      <c r="L128" s="15"/>
      <c r="M128" s="1"/>
      <c r="N128" s="1"/>
      <c r="O128" s="1"/>
      <c r="P128" s="1"/>
      <c r="Q128" s="1"/>
      <c r="R128" s="1"/>
      <c r="S128" s="1"/>
      <c r="T128" s="1"/>
      <c r="U128" s="1"/>
      <c r="V128" s="1"/>
      <c r="W128" s="1"/>
      <c r="X128" s="1"/>
      <c r="Y128" s="1"/>
      <c r="Z128" s="1"/>
      <c r="AA128" s="1"/>
      <c r="AB128" s="1"/>
    </row>
    <row r="129" spans="1:28" ht="14.25" customHeight="1" x14ac:dyDescent="0.2">
      <c r="A129" s="72"/>
      <c r="B129" s="17">
        <v>128</v>
      </c>
      <c r="C129" s="6" t="s">
        <v>24</v>
      </c>
      <c r="D129" s="6" t="s">
        <v>369</v>
      </c>
      <c r="E129" s="15" t="s">
        <v>370</v>
      </c>
      <c r="F129" s="15" t="s">
        <v>371</v>
      </c>
      <c r="G129" s="16" t="s">
        <v>65</v>
      </c>
      <c r="H129" s="16" t="s">
        <v>36</v>
      </c>
      <c r="I129" s="16" t="s">
        <v>51</v>
      </c>
      <c r="J129" s="15" t="s">
        <v>51</v>
      </c>
      <c r="K129" s="15" t="s">
        <v>51</v>
      </c>
      <c r="L129" s="15"/>
      <c r="M129" s="1"/>
      <c r="N129" s="1"/>
      <c r="O129" s="1"/>
      <c r="P129" s="1"/>
      <c r="Q129" s="1"/>
      <c r="R129" s="1"/>
      <c r="S129" s="1"/>
      <c r="T129" s="1"/>
      <c r="U129" s="1"/>
      <c r="V129" s="1"/>
      <c r="W129" s="1"/>
      <c r="X129" s="1"/>
      <c r="Y129" s="1"/>
      <c r="Z129" s="1"/>
      <c r="AA129" s="1"/>
      <c r="AB129" s="1"/>
    </row>
    <row r="130" spans="1:28" ht="14.25" customHeight="1" x14ac:dyDescent="0.2">
      <c r="A130" s="72"/>
      <c r="B130" s="17">
        <v>129</v>
      </c>
      <c r="C130" s="6" t="s">
        <v>24</v>
      </c>
      <c r="D130" s="6" t="s">
        <v>372</v>
      </c>
      <c r="E130" s="15" t="s">
        <v>373</v>
      </c>
      <c r="F130" s="15" t="s">
        <v>374</v>
      </c>
      <c r="G130" s="16" t="s">
        <v>65</v>
      </c>
      <c r="H130" s="16" t="s">
        <v>36</v>
      </c>
      <c r="I130" s="16" t="s">
        <v>51</v>
      </c>
      <c r="J130" s="15" t="s">
        <v>51</v>
      </c>
      <c r="K130" s="15" t="s">
        <v>51</v>
      </c>
      <c r="L130" s="15"/>
      <c r="M130" s="1"/>
      <c r="N130" s="1"/>
      <c r="O130" s="1"/>
      <c r="P130" s="1"/>
      <c r="Q130" s="1"/>
      <c r="R130" s="1"/>
      <c r="S130" s="1"/>
      <c r="T130" s="1"/>
      <c r="U130" s="1"/>
      <c r="V130" s="1"/>
      <c r="W130" s="1"/>
      <c r="X130" s="1"/>
      <c r="Y130" s="1"/>
      <c r="Z130" s="1"/>
      <c r="AA130" s="1"/>
      <c r="AB130" s="1"/>
    </row>
    <row r="131" spans="1:28" ht="14.25" customHeight="1" x14ac:dyDescent="0.2">
      <c r="A131" s="72"/>
      <c r="B131" s="17">
        <v>130</v>
      </c>
      <c r="C131" s="6" t="s">
        <v>24</v>
      </c>
      <c r="D131" s="18" t="s">
        <v>375</v>
      </c>
      <c r="E131" s="15" t="s">
        <v>376</v>
      </c>
      <c r="F131" s="15" t="s">
        <v>377</v>
      </c>
      <c r="G131" s="16" t="s">
        <v>65</v>
      </c>
      <c r="H131" s="16" t="s">
        <v>51</v>
      </c>
      <c r="I131" s="16" t="s">
        <v>52</v>
      </c>
      <c r="J131" s="15" t="s">
        <v>51</v>
      </c>
      <c r="K131" s="15" t="s">
        <v>52</v>
      </c>
      <c r="L131" s="15"/>
      <c r="M131" s="1"/>
      <c r="N131" s="1"/>
      <c r="O131" s="1"/>
      <c r="P131" s="1"/>
      <c r="Q131" s="1"/>
      <c r="R131" s="1"/>
      <c r="S131" s="1"/>
      <c r="T131" s="1"/>
      <c r="U131" s="1"/>
      <c r="V131" s="1"/>
      <c r="W131" s="1"/>
      <c r="X131" s="1"/>
      <c r="Y131" s="1"/>
      <c r="Z131" s="1"/>
      <c r="AA131" s="1"/>
      <c r="AB131" s="1"/>
    </row>
    <row r="132" spans="1:28" ht="14.25" customHeight="1" x14ac:dyDescent="0.2">
      <c r="A132" s="72"/>
      <c r="B132" s="17">
        <v>131</v>
      </c>
      <c r="C132" s="6" t="s">
        <v>24</v>
      </c>
      <c r="D132" s="6" t="s">
        <v>378</v>
      </c>
      <c r="E132" s="15" t="s">
        <v>379</v>
      </c>
      <c r="F132" s="15" t="s">
        <v>380</v>
      </c>
      <c r="G132" s="16" t="s">
        <v>65</v>
      </c>
      <c r="H132" s="16" t="s">
        <v>36</v>
      </c>
      <c r="I132" s="16" t="s">
        <v>51</v>
      </c>
      <c r="J132" s="15" t="s">
        <v>51</v>
      </c>
      <c r="K132" s="15" t="s">
        <v>51</v>
      </c>
      <c r="L132" s="15"/>
      <c r="M132" s="1"/>
      <c r="N132" s="1"/>
      <c r="O132" s="1"/>
      <c r="P132" s="1"/>
      <c r="Q132" s="1"/>
      <c r="R132" s="1"/>
      <c r="S132" s="1"/>
      <c r="T132" s="1"/>
      <c r="U132" s="1"/>
      <c r="V132" s="1"/>
      <c r="W132" s="1"/>
      <c r="X132" s="1"/>
      <c r="Y132" s="1"/>
      <c r="Z132" s="1"/>
      <c r="AA132" s="1"/>
      <c r="AB132" s="1"/>
    </row>
    <row r="133" spans="1:28" ht="14.25" customHeight="1" x14ac:dyDescent="0.2">
      <c r="A133" s="72"/>
      <c r="B133" s="17">
        <v>132</v>
      </c>
      <c r="C133" s="6" t="s">
        <v>24</v>
      </c>
      <c r="D133" s="6" t="s">
        <v>381</v>
      </c>
      <c r="E133" s="15" t="s">
        <v>382</v>
      </c>
      <c r="F133" s="15" t="s">
        <v>381</v>
      </c>
      <c r="G133" s="16" t="s">
        <v>65</v>
      </c>
      <c r="H133" s="16" t="s">
        <v>36</v>
      </c>
      <c r="I133" s="16" t="s">
        <v>51</v>
      </c>
      <c r="J133" s="15" t="s">
        <v>51</v>
      </c>
      <c r="K133" s="15" t="s">
        <v>51</v>
      </c>
      <c r="L133" s="15"/>
      <c r="M133" s="1"/>
      <c r="N133" s="1"/>
      <c r="O133" s="1"/>
      <c r="P133" s="1"/>
      <c r="Q133" s="1"/>
      <c r="R133" s="1"/>
      <c r="S133" s="1"/>
      <c r="T133" s="1"/>
      <c r="U133" s="1"/>
      <c r="V133" s="1"/>
      <c r="W133" s="1"/>
      <c r="X133" s="1"/>
      <c r="Y133" s="1"/>
      <c r="Z133" s="1"/>
      <c r="AA133" s="1"/>
      <c r="AB133" s="1"/>
    </row>
    <row r="134" spans="1:28" ht="14.25" customHeight="1" x14ac:dyDescent="0.2">
      <c r="A134" s="72"/>
      <c r="B134" s="17">
        <v>133</v>
      </c>
      <c r="C134" s="6" t="s">
        <v>24</v>
      </c>
      <c r="D134" s="6" t="s">
        <v>383</v>
      </c>
      <c r="E134" s="15" t="s">
        <v>384</v>
      </c>
      <c r="F134" s="15" t="s">
        <v>383</v>
      </c>
      <c r="G134" s="16" t="s">
        <v>65</v>
      </c>
      <c r="H134" s="16" t="s">
        <v>51</v>
      </c>
      <c r="I134" s="16" t="s">
        <v>52</v>
      </c>
      <c r="J134" s="15" t="s">
        <v>51</v>
      </c>
      <c r="K134" s="15" t="s">
        <v>52</v>
      </c>
      <c r="L134" s="15"/>
      <c r="M134" s="1"/>
      <c r="N134" s="1"/>
      <c r="O134" s="1"/>
      <c r="P134" s="1"/>
      <c r="Q134" s="1"/>
      <c r="R134" s="1"/>
      <c r="S134" s="1"/>
      <c r="T134" s="1"/>
      <c r="U134" s="1"/>
      <c r="V134" s="1"/>
      <c r="W134" s="1"/>
      <c r="X134" s="1"/>
      <c r="Y134" s="1"/>
      <c r="Z134" s="1"/>
      <c r="AA134" s="1"/>
      <c r="AB134" s="1"/>
    </row>
    <row r="135" spans="1:28" ht="14.25" customHeight="1" x14ac:dyDescent="0.2">
      <c r="A135" s="72"/>
      <c r="B135" s="17">
        <v>134</v>
      </c>
      <c r="C135" s="6" t="s">
        <v>24</v>
      </c>
      <c r="D135" s="6" t="s">
        <v>385</v>
      </c>
      <c r="E135" s="15" t="s">
        <v>386</v>
      </c>
      <c r="F135" s="15" t="s">
        <v>387</v>
      </c>
      <c r="G135" s="16" t="s">
        <v>65</v>
      </c>
      <c r="H135" s="16" t="s">
        <v>51</v>
      </c>
      <c r="I135" s="16" t="s">
        <v>52</v>
      </c>
      <c r="J135" s="15" t="s">
        <v>51</v>
      </c>
      <c r="K135" s="15" t="s">
        <v>52</v>
      </c>
      <c r="L135" s="15"/>
      <c r="M135" s="1"/>
      <c r="N135" s="1"/>
      <c r="O135" s="1"/>
      <c r="P135" s="1"/>
      <c r="Q135" s="1"/>
      <c r="R135" s="1"/>
      <c r="S135" s="1"/>
      <c r="T135" s="1"/>
      <c r="U135" s="1"/>
      <c r="V135" s="1"/>
      <c r="W135" s="1"/>
      <c r="X135" s="1"/>
      <c r="Y135" s="1"/>
      <c r="Z135" s="1"/>
      <c r="AA135" s="1"/>
      <c r="AB135" s="1"/>
    </row>
    <row r="136" spans="1:28" ht="14.25" customHeight="1" x14ac:dyDescent="0.2">
      <c r="A136" s="72"/>
      <c r="B136" s="17">
        <v>135</v>
      </c>
      <c r="C136" s="6" t="s">
        <v>24</v>
      </c>
      <c r="D136" s="6" t="s">
        <v>388</v>
      </c>
      <c r="E136" s="15" t="s">
        <v>389</v>
      </c>
      <c r="F136" s="15" t="s">
        <v>388</v>
      </c>
      <c r="G136" s="16" t="s">
        <v>65</v>
      </c>
      <c r="H136" s="16" t="s">
        <v>51</v>
      </c>
      <c r="I136" s="16" t="s">
        <v>52</v>
      </c>
      <c r="J136" s="15" t="s">
        <v>51</v>
      </c>
      <c r="K136" s="15" t="s">
        <v>52</v>
      </c>
      <c r="L136" s="15"/>
      <c r="M136" s="1"/>
      <c r="N136" s="1"/>
      <c r="O136" s="1"/>
      <c r="P136" s="1"/>
      <c r="Q136" s="1"/>
      <c r="R136" s="1"/>
      <c r="S136" s="1"/>
      <c r="T136" s="1"/>
      <c r="U136" s="1"/>
      <c r="V136" s="1"/>
      <c r="W136" s="1"/>
      <c r="X136" s="1"/>
      <c r="Y136" s="1"/>
      <c r="Z136" s="1"/>
      <c r="AA136" s="1"/>
      <c r="AB136" s="1"/>
    </row>
    <row r="137" spans="1:28" ht="48" x14ac:dyDescent="0.2">
      <c r="A137" s="72"/>
      <c r="B137" s="17">
        <v>136</v>
      </c>
      <c r="C137" s="6" t="s">
        <v>24</v>
      </c>
      <c r="D137" s="18" t="s">
        <v>390</v>
      </c>
      <c r="E137" s="15" t="s">
        <v>391</v>
      </c>
      <c r="F137" s="15" t="s">
        <v>392</v>
      </c>
      <c r="G137" s="16" t="s">
        <v>65</v>
      </c>
      <c r="H137" s="16" t="s">
        <v>51</v>
      </c>
      <c r="I137" s="16" t="s">
        <v>52</v>
      </c>
      <c r="J137" s="15" t="s">
        <v>51</v>
      </c>
      <c r="K137" s="15" t="s">
        <v>52</v>
      </c>
      <c r="L137" s="15"/>
      <c r="M137" s="1"/>
      <c r="N137" s="1"/>
      <c r="O137" s="1"/>
      <c r="P137" s="1"/>
      <c r="Q137" s="1"/>
      <c r="R137" s="1"/>
      <c r="S137" s="1"/>
      <c r="T137" s="1"/>
      <c r="U137" s="1"/>
      <c r="V137" s="1"/>
      <c r="W137" s="1"/>
      <c r="X137" s="1"/>
      <c r="Y137" s="1"/>
      <c r="Z137" s="1"/>
      <c r="AA137" s="1"/>
      <c r="AB137" s="1"/>
    </row>
    <row r="138" spans="1:28" ht="14.25" customHeight="1" x14ac:dyDescent="0.2">
      <c r="A138" s="72"/>
      <c r="B138" s="17">
        <v>137</v>
      </c>
      <c r="C138" s="6" t="s">
        <v>24</v>
      </c>
      <c r="D138" s="6" t="s">
        <v>393</v>
      </c>
      <c r="E138" s="15" t="s">
        <v>394</v>
      </c>
      <c r="F138" s="15" t="s">
        <v>393</v>
      </c>
      <c r="G138" s="16" t="s">
        <v>65</v>
      </c>
      <c r="H138" s="16" t="s">
        <v>36</v>
      </c>
      <c r="I138" s="16" t="s">
        <v>51</v>
      </c>
      <c r="J138" s="15" t="s">
        <v>51</v>
      </c>
      <c r="K138" s="15" t="s">
        <v>51</v>
      </c>
      <c r="L138" s="15"/>
      <c r="M138" s="1"/>
      <c r="N138" s="1"/>
      <c r="O138" s="1"/>
      <c r="P138" s="1"/>
      <c r="Q138" s="1"/>
      <c r="R138" s="1"/>
      <c r="S138" s="1"/>
      <c r="T138" s="1"/>
      <c r="U138" s="1"/>
      <c r="V138" s="1"/>
      <c r="W138" s="1"/>
      <c r="X138" s="1"/>
      <c r="Y138" s="1"/>
      <c r="Z138" s="1"/>
      <c r="AA138" s="1"/>
      <c r="AB138" s="1"/>
    </row>
    <row r="139" spans="1:28" ht="14.25" customHeight="1" x14ac:dyDescent="0.2">
      <c r="A139" s="72"/>
      <c r="B139" s="17">
        <v>138</v>
      </c>
      <c r="C139" s="6" t="s">
        <v>24</v>
      </c>
      <c r="D139" s="6" t="s">
        <v>395</v>
      </c>
      <c r="E139" s="15" t="s">
        <v>396</v>
      </c>
      <c r="F139" s="15" t="s">
        <v>395</v>
      </c>
      <c r="G139" s="16" t="s">
        <v>65</v>
      </c>
      <c r="H139" s="16" t="s">
        <v>51</v>
      </c>
      <c r="I139" s="16" t="s">
        <v>52</v>
      </c>
      <c r="J139" s="15" t="s">
        <v>51</v>
      </c>
      <c r="K139" s="15" t="s">
        <v>52</v>
      </c>
      <c r="L139" s="15"/>
      <c r="M139" s="1"/>
      <c r="N139" s="1"/>
      <c r="O139" s="1"/>
      <c r="P139" s="1"/>
      <c r="Q139" s="1"/>
      <c r="R139" s="1"/>
      <c r="S139" s="1"/>
      <c r="T139" s="1"/>
      <c r="U139" s="1"/>
      <c r="V139" s="1"/>
      <c r="W139" s="1"/>
      <c r="X139" s="1"/>
      <c r="Y139" s="1"/>
      <c r="Z139" s="1"/>
      <c r="AA139" s="1"/>
      <c r="AB139" s="1"/>
    </row>
    <row r="140" spans="1:28" ht="14.25" customHeight="1" x14ac:dyDescent="0.2">
      <c r="A140" s="72"/>
      <c r="B140" s="17">
        <v>139</v>
      </c>
      <c r="C140" s="6" t="s">
        <v>24</v>
      </c>
      <c r="D140" s="6" t="s">
        <v>397</v>
      </c>
      <c r="E140" s="15" t="s">
        <v>398</v>
      </c>
      <c r="F140" s="15" t="s">
        <v>397</v>
      </c>
      <c r="G140" s="16" t="s">
        <v>65</v>
      </c>
      <c r="H140" s="16" t="s">
        <v>36</v>
      </c>
      <c r="I140" s="16" t="s">
        <v>51</v>
      </c>
      <c r="J140" s="15" t="s">
        <v>51</v>
      </c>
      <c r="K140" s="15" t="s">
        <v>51</v>
      </c>
      <c r="L140" s="15"/>
      <c r="M140" s="1"/>
      <c r="N140" s="1"/>
      <c r="O140" s="1"/>
      <c r="P140" s="1"/>
      <c r="Q140" s="1"/>
      <c r="R140" s="1"/>
      <c r="S140" s="1"/>
      <c r="T140" s="1"/>
      <c r="U140" s="1"/>
      <c r="V140" s="1"/>
      <c r="W140" s="1"/>
      <c r="X140" s="1"/>
      <c r="Y140" s="1"/>
      <c r="Z140" s="1"/>
      <c r="AA140" s="1"/>
      <c r="AB140" s="1"/>
    </row>
    <row r="141" spans="1:28" ht="14.25" customHeight="1" x14ac:dyDescent="0.2">
      <c r="A141" s="72"/>
      <c r="B141" s="17">
        <v>140</v>
      </c>
      <c r="C141" s="6" t="s">
        <v>24</v>
      </c>
      <c r="D141" s="6" t="s">
        <v>399</v>
      </c>
      <c r="E141" s="15" t="s">
        <v>400</v>
      </c>
      <c r="F141" s="15" t="s">
        <v>399</v>
      </c>
      <c r="G141" s="16" t="s">
        <v>65</v>
      </c>
      <c r="H141" s="16" t="s">
        <v>51</v>
      </c>
      <c r="I141" s="16" t="s">
        <v>52</v>
      </c>
      <c r="J141" s="15" t="s">
        <v>51</v>
      </c>
      <c r="K141" s="15" t="s">
        <v>52</v>
      </c>
      <c r="L141" s="15"/>
      <c r="M141" s="1"/>
      <c r="N141" s="1"/>
      <c r="O141" s="1"/>
      <c r="P141" s="1"/>
      <c r="Q141" s="1"/>
      <c r="R141" s="1"/>
      <c r="S141" s="1"/>
      <c r="T141" s="1"/>
      <c r="U141" s="1"/>
      <c r="V141" s="1"/>
      <c r="W141" s="1"/>
      <c r="X141" s="1"/>
      <c r="Y141" s="1"/>
      <c r="Z141" s="1"/>
      <c r="AA141" s="1"/>
      <c r="AB141" s="1"/>
    </row>
    <row r="142" spans="1:28" ht="14.25" customHeight="1" x14ac:dyDescent="0.2">
      <c r="A142" s="72"/>
      <c r="B142" s="17">
        <v>141</v>
      </c>
      <c r="C142" s="6" t="s">
        <v>24</v>
      </c>
      <c r="D142" s="6" t="s">
        <v>401</v>
      </c>
      <c r="E142" s="15" t="s">
        <v>402</v>
      </c>
      <c r="F142" s="15" t="s">
        <v>401</v>
      </c>
      <c r="G142" s="16" t="s">
        <v>65</v>
      </c>
      <c r="H142" s="16" t="s">
        <v>51</v>
      </c>
      <c r="I142" s="16" t="s">
        <v>52</v>
      </c>
      <c r="J142" s="15" t="s">
        <v>51</v>
      </c>
      <c r="K142" s="15" t="s">
        <v>52</v>
      </c>
      <c r="L142" s="15"/>
      <c r="M142" s="1"/>
      <c r="N142" s="1"/>
      <c r="O142" s="1"/>
      <c r="P142" s="1"/>
      <c r="Q142" s="1"/>
      <c r="R142" s="1"/>
      <c r="S142" s="1"/>
      <c r="T142" s="1"/>
      <c r="U142" s="1"/>
      <c r="V142" s="1"/>
      <c r="W142" s="1"/>
      <c r="X142" s="1"/>
      <c r="Y142" s="1"/>
      <c r="Z142" s="1"/>
      <c r="AA142" s="1"/>
      <c r="AB142" s="1"/>
    </row>
    <row r="143" spans="1:28" ht="14.25" customHeight="1" x14ac:dyDescent="0.2">
      <c r="A143" s="72"/>
      <c r="B143" s="17">
        <v>142</v>
      </c>
      <c r="C143" s="6" t="s">
        <v>24</v>
      </c>
      <c r="D143" s="6" t="s">
        <v>403</v>
      </c>
      <c r="E143" s="15" t="s">
        <v>404</v>
      </c>
      <c r="F143" s="15" t="s">
        <v>405</v>
      </c>
      <c r="G143" s="16" t="s">
        <v>65</v>
      </c>
      <c r="H143" s="16" t="s">
        <v>51</v>
      </c>
      <c r="I143" s="16" t="s">
        <v>52</v>
      </c>
      <c r="J143" s="15" t="s">
        <v>51</v>
      </c>
      <c r="K143" s="15" t="s">
        <v>52</v>
      </c>
      <c r="L143" s="15"/>
      <c r="M143" s="1"/>
      <c r="N143" s="1"/>
      <c r="O143" s="1"/>
      <c r="P143" s="1"/>
      <c r="Q143" s="1"/>
      <c r="R143" s="1"/>
      <c r="S143" s="1"/>
      <c r="T143" s="1"/>
      <c r="U143" s="1"/>
      <c r="V143" s="1"/>
      <c r="W143" s="1"/>
      <c r="X143" s="1"/>
      <c r="Y143" s="1"/>
      <c r="Z143" s="1"/>
      <c r="AA143" s="1"/>
      <c r="AB143" s="1"/>
    </row>
    <row r="144" spans="1:28" ht="16" x14ac:dyDescent="0.2">
      <c r="A144" s="72"/>
      <c r="B144" s="17">
        <v>143</v>
      </c>
      <c r="C144" s="6" t="s">
        <v>24</v>
      </c>
      <c r="D144" s="18" t="s">
        <v>406</v>
      </c>
      <c r="E144" s="15" t="s">
        <v>407</v>
      </c>
      <c r="F144" s="15" t="s">
        <v>408</v>
      </c>
      <c r="G144" s="16" t="s">
        <v>65</v>
      </c>
      <c r="H144" s="16" t="s">
        <v>51</v>
      </c>
      <c r="I144" s="16" t="s">
        <v>52</v>
      </c>
      <c r="J144" s="15" t="s">
        <v>51</v>
      </c>
      <c r="K144" s="15" t="s">
        <v>52</v>
      </c>
      <c r="L144" s="15"/>
      <c r="M144" s="1"/>
      <c r="N144" s="1"/>
      <c r="O144" s="1"/>
      <c r="P144" s="1"/>
      <c r="Q144" s="1"/>
      <c r="R144" s="1"/>
      <c r="S144" s="1"/>
      <c r="T144" s="1"/>
      <c r="U144" s="1"/>
      <c r="V144" s="1"/>
      <c r="W144" s="1"/>
      <c r="X144" s="1"/>
      <c r="Y144" s="1"/>
      <c r="Z144" s="1"/>
      <c r="AA144" s="1"/>
      <c r="AB144" s="1"/>
    </row>
    <row r="145" spans="1:28" ht="14.25" customHeight="1" x14ac:dyDescent="0.2">
      <c r="A145" s="72"/>
      <c r="B145" s="17">
        <v>144</v>
      </c>
      <c r="C145" s="6" t="s">
        <v>24</v>
      </c>
      <c r="D145" s="6" t="s">
        <v>409</v>
      </c>
      <c r="E145" s="15" t="s">
        <v>410</v>
      </c>
      <c r="F145" s="15" t="s">
        <v>409</v>
      </c>
      <c r="G145" s="16" t="s">
        <v>65</v>
      </c>
      <c r="H145" s="16" t="s">
        <v>36</v>
      </c>
      <c r="I145" s="16" t="s">
        <v>51</v>
      </c>
      <c r="J145" s="15" t="s">
        <v>51</v>
      </c>
      <c r="K145" s="15" t="s">
        <v>51</v>
      </c>
      <c r="L145" s="15"/>
      <c r="M145" s="1"/>
      <c r="N145" s="1"/>
      <c r="O145" s="1"/>
      <c r="P145" s="1"/>
      <c r="Q145" s="1"/>
      <c r="R145" s="1"/>
      <c r="S145" s="1"/>
      <c r="T145" s="1"/>
      <c r="U145" s="1"/>
      <c r="V145" s="1"/>
      <c r="W145" s="1"/>
      <c r="X145" s="1"/>
      <c r="Y145" s="1"/>
      <c r="Z145" s="1"/>
      <c r="AA145" s="1"/>
      <c r="AB145" s="1"/>
    </row>
    <row r="146" spans="1:28" ht="14.25" customHeight="1" x14ac:dyDescent="0.2">
      <c r="A146" s="72"/>
      <c r="B146" s="17">
        <v>145</v>
      </c>
      <c r="C146" s="6" t="s">
        <v>24</v>
      </c>
      <c r="D146" s="6" t="s">
        <v>411</v>
      </c>
      <c r="E146" s="15" t="s">
        <v>412</v>
      </c>
      <c r="F146" s="15" t="s">
        <v>411</v>
      </c>
      <c r="G146" s="16" t="s">
        <v>65</v>
      </c>
      <c r="H146" s="16" t="s">
        <v>51</v>
      </c>
      <c r="I146" s="16" t="s">
        <v>52</v>
      </c>
      <c r="J146" s="15" t="s">
        <v>51</v>
      </c>
      <c r="K146" s="15" t="s">
        <v>52</v>
      </c>
      <c r="L146" s="15"/>
      <c r="M146" s="1"/>
      <c r="N146" s="1"/>
      <c r="O146" s="1"/>
      <c r="P146" s="1"/>
      <c r="Q146" s="1"/>
      <c r="R146" s="1"/>
      <c r="S146" s="1"/>
      <c r="T146" s="1"/>
      <c r="U146" s="1"/>
      <c r="V146" s="1"/>
      <c r="W146" s="1"/>
      <c r="X146" s="1"/>
      <c r="Y146" s="1"/>
      <c r="Z146" s="1"/>
      <c r="AA146" s="1"/>
      <c r="AB146" s="1"/>
    </row>
    <row r="147" spans="1:28" ht="14.25" customHeight="1" x14ac:dyDescent="0.2">
      <c r="A147" s="72"/>
      <c r="B147" s="17">
        <v>146</v>
      </c>
      <c r="C147" s="6" t="s">
        <v>24</v>
      </c>
      <c r="D147" s="6" t="s">
        <v>413</v>
      </c>
      <c r="E147" s="15" t="s">
        <v>414</v>
      </c>
      <c r="F147" s="15" t="s">
        <v>415</v>
      </c>
      <c r="G147" s="16" t="s">
        <v>65</v>
      </c>
      <c r="H147" s="16" t="s">
        <v>36</v>
      </c>
      <c r="I147" s="16" t="s">
        <v>51</v>
      </c>
      <c r="J147" s="15" t="s">
        <v>51</v>
      </c>
      <c r="K147" s="15" t="s">
        <v>51</v>
      </c>
      <c r="L147" s="15" t="s">
        <v>358</v>
      </c>
      <c r="M147" s="1"/>
      <c r="N147" s="1"/>
      <c r="O147" s="1"/>
      <c r="P147" s="1"/>
      <c r="Q147" s="1"/>
      <c r="R147" s="1"/>
      <c r="S147" s="1"/>
      <c r="T147" s="1"/>
      <c r="U147" s="1"/>
      <c r="V147" s="1"/>
      <c r="W147" s="1"/>
      <c r="X147" s="1"/>
      <c r="Y147" s="1"/>
      <c r="Z147" s="1"/>
      <c r="AA147" s="1"/>
      <c r="AB147" s="1"/>
    </row>
    <row r="148" spans="1:28" ht="14.25" customHeight="1" x14ac:dyDescent="0.2">
      <c r="A148" s="72"/>
      <c r="B148" s="17">
        <v>147</v>
      </c>
      <c r="C148" s="6" t="s">
        <v>24</v>
      </c>
      <c r="D148" s="6" t="s">
        <v>416</v>
      </c>
      <c r="E148" s="15" t="s">
        <v>417</v>
      </c>
      <c r="F148" s="15" t="s">
        <v>418</v>
      </c>
      <c r="G148" s="16" t="s">
        <v>65</v>
      </c>
      <c r="H148" s="16" t="s">
        <v>36</v>
      </c>
      <c r="I148" s="16" t="s">
        <v>51</v>
      </c>
      <c r="J148" s="15" t="s">
        <v>51</v>
      </c>
      <c r="K148" s="15" t="s">
        <v>51</v>
      </c>
      <c r="L148" s="15"/>
      <c r="M148" s="1"/>
      <c r="N148" s="1"/>
      <c r="O148" s="1"/>
      <c r="P148" s="1"/>
      <c r="Q148" s="1"/>
      <c r="R148" s="1"/>
      <c r="S148" s="1"/>
      <c r="T148" s="1"/>
      <c r="U148" s="1"/>
      <c r="V148" s="1"/>
      <c r="W148" s="1"/>
      <c r="X148" s="1"/>
      <c r="Y148" s="1"/>
      <c r="Z148" s="1"/>
      <c r="AA148" s="1"/>
      <c r="AB148" s="1"/>
    </row>
    <row r="149" spans="1:28" ht="14.25" customHeight="1" x14ac:dyDescent="0.2">
      <c r="A149" s="72"/>
      <c r="B149" s="17">
        <v>148</v>
      </c>
      <c r="C149" s="6" t="s">
        <v>24</v>
      </c>
      <c r="D149" s="6" t="s">
        <v>419</v>
      </c>
      <c r="E149" s="15" t="s">
        <v>420</v>
      </c>
      <c r="F149" s="15" t="s">
        <v>421</v>
      </c>
      <c r="G149" s="16" t="s">
        <v>65</v>
      </c>
      <c r="H149" s="16" t="s">
        <v>51</v>
      </c>
      <c r="I149" s="16" t="s">
        <v>52</v>
      </c>
      <c r="J149" s="15" t="s">
        <v>51</v>
      </c>
      <c r="K149" s="15" t="s">
        <v>52</v>
      </c>
      <c r="L149" s="15"/>
      <c r="M149" s="1"/>
      <c r="N149" s="1"/>
      <c r="O149" s="1"/>
      <c r="P149" s="1"/>
      <c r="Q149" s="1"/>
      <c r="R149" s="1"/>
      <c r="S149" s="1"/>
      <c r="T149" s="1"/>
      <c r="U149" s="1"/>
      <c r="V149" s="1"/>
      <c r="W149" s="1"/>
      <c r="X149" s="1"/>
      <c r="Y149" s="1"/>
      <c r="Z149" s="1"/>
      <c r="AA149" s="1"/>
      <c r="AB149" s="1"/>
    </row>
    <row r="150" spans="1:28" ht="14.25" customHeight="1" x14ac:dyDescent="0.2">
      <c r="A150" s="72"/>
      <c r="B150" s="17">
        <v>149</v>
      </c>
      <c r="C150" s="6" t="s">
        <v>24</v>
      </c>
      <c r="D150" s="18" t="s">
        <v>422</v>
      </c>
      <c r="E150" s="15" t="s">
        <v>423</v>
      </c>
      <c r="F150" s="15" t="s">
        <v>424</v>
      </c>
      <c r="G150" s="16" t="s">
        <v>65</v>
      </c>
      <c r="H150" s="16" t="s">
        <v>36</v>
      </c>
      <c r="I150" s="16" t="s">
        <v>51</v>
      </c>
      <c r="J150" s="15" t="s">
        <v>51</v>
      </c>
      <c r="K150" s="15" t="s">
        <v>51</v>
      </c>
      <c r="L150" s="15"/>
      <c r="M150" s="1"/>
      <c r="N150" s="1"/>
      <c r="O150" s="1"/>
      <c r="P150" s="1"/>
      <c r="Q150" s="1"/>
      <c r="R150" s="1"/>
      <c r="S150" s="1"/>
      <c r="T150" s="1"/>
      <c r="U150" s="1"/>
      <c r="V150" s="1"/>
      <c r="W150" s="1"/>
      <c r="X150" s="1"/>
      <c r="Y150" s="1"/>
      <c r="Z150" s="1"/>
      <c r="AA150" s="1"/>
      <c r="AB150" s="1"/>
    </row>
    <row r="151" spans="1:28" ht="14.25" customHeight="1" x14ac:dyDescent="0.2">
      <c r="A151" s="72"/>
      <c r="B151" s="17">
        <v>150</v>
      </c>
      <c r="C151" s="6" t="s">
        <v>24</v>
      </c>
      <c r="D151" s="6" t="s">
        <v>425</v>
      </c>
      <c r="E151" s="15" t="s">
        <v>426</v>
      </c>
      <c r="F151" s="15" t="s">
        <v>425</v>
      </c>
      <c r="G151" s="16" t="s">
        <v>65</v>
      </c>
      <c r="H151" s="16" t="s">
        <v>36</v>
      </c>
      <c r="I151" s="16" t="s">
        <v>51</v>
      </c>
      <c r="J151" s="15" t="s">
        <v>51</v>
      </c>
      <c r="K151" s="15" t="s">
        <v>51</v>
      </c>
      <c r="L151" s="15"/>
      <c r="M151" s="1"/>
      <c r="N151" s="1"/>
      <c r="O151" s="1"/>
      <c r="P151" s="1"/>
      <c r="Q151" s="1"/>
      <c r="R151" s="1"/>
      <c r="S151" s="1"/>
      <c r="T151" s="1"/>
      <c r="U151" s="1"/>
      <c r="V151" s="1"/>
      <c r="W151" s="1"/>
      <c r="X151" s="1"/>
      <c r="Y151" s="1"/>
      <c r="Z151" s="1"/>
      <c r="AA151" s="1"/>
      <c r="AB151" s="1"/>
    </row>
    <row r="152" spans="1:28" ht="14.25" customHeight="1" x14ac:dyDescent="0.2">
      <c r="A152" s="72"/>
      <c r="B152" s="17">
        <v>151</v>
      </c>
      <c r="C152" s="6" t="s">
        <v>24</v>
      </c>
      <c r="D152" s="18" t="s">
        <v>427</v>
      </c>
      <c r="E152" s="15" t="s">
        <v>428</v>
      </c>
      <c r="F152" s="15" t="s">
        <v>429</v>
      </c>
      <c r="G152" s="16" t="s">
        <v>65</v>
      </c>
      <c r="H152" s="16" t="s">
        <v>51</v>
      </c>
      <c r="I152" s="16" t="s">
        <v>52</v>
      </c>
      <c r="J152" s="15" t="s">
        <v>51</v>
      </c>
      <c r="K152" s="15" t="s">
        <v>52</v>
      </c>
      <c r="L152" s="15"/>
      <c r="M152" s="1"/>
      <c r="N152" s="1"/>
      <c r="O152" s="1"/>
      <c r="P152" s="1"/>
      <c r="Q152" s="1"/>
      <c r="R152" s="1"/>
      <c r="S152" s="1"/>
      <c r="T152" s="1"/>
      <c r="U152" s="1"/>
      <c r="V152" s="1"/>
      <c r="W152" s="1"/>
      <c r="X152" s="1"/>
      <c r="Y152" s="1"/>
      <c r="Z152" s="1"/>
      <c r="AA152" s="1"/>
      <c r="AB152" s="1"/>
    </row>
    <row r="153" spans="1:28" ht="32" x14ac:dyDescent="0.2">
      <c r="A153" s="72"/>
      <c r="B153" s="17">
        <v>152</v>
      </c>
      <c r="C153" s="6" t="s">
        <v>24</v>
      </c>
      <c r="D153" s="18" t="s">
        <v>430</v>
      </c>
      <c r="E153" s="15" t="s">
        <v>431</v>
      </c>
      <c r="F153" s="15" t="s">
        <v>432</v>
      </c>
      <c r="G153" s="16" t="s">
        <v>65</v>
      </c>
      <c r="H153" s="16" t="s">
        <v>51</v>
      </c>
      <c r="I153" s="16" t="s">
        <v>52</v>
      </c>
      <c r="J153" s="15" t="s">
        <v>51</v>
      </c>
      <c r="K153" s="15" t="s">
        <v>52</v>
      </c>
      <c r="L153" s="15"/>
      <c r="M153" s="1"/>
      <c r="N153" s="1"/>
      <c r="O153" s="1"/>
      <c r="P153" s="1"/>
      <c r="Q153" s="1"/>
      <c r="R153" s="1"/>
      <c r="S153" s="1"/>
      <c r="T153" s="1"/>
      <c r="U153" s="1"/>
      <c r="V153" s="1"/>
      <c r="W153" s="1"/>
      <c r="X153" s="1"/>
      <c r="Y153" s="1"/>
      <c r="Z153" s="1"/>
      <c r="AA153" s="1"/>
      <c r="AB153" s="1"/>
    </row>
    <row r="154" spans="1:28" ht="14.25" customHeight="1" x14ac:dyDescent="0.2">
      <c r="A154" s="72"/>
      <c r="B154" s="17">
        <v>153</v>
      </c>
      <c r="C154" s="6" t="s">
        <v>24</v>
      </c>
      <c r="D154" s="6" t="s">
        <v>433</v>
      </c>
      <c r="E154" s="15" t="s">
        <v>434</v>
      </c>
      <c r="F154" s="15" t="s">
        <v>435</v>
      </c>
      <c r="G154" s="16" t="s">
        <v>65</v>
      </c>
      <c r="H154" s="16" t="s">
        <v>36</v>
      </c>
      <c r="I154" s="16" t="s">
        <v>51</v>
      </c>
      <c r="J154" s="15" t="s">
        <v>51</v>
      </c>
      <c r="K154" s="15" t="s">
        <v>51</v>
      </c>
      <c r="L154" s="15"/>
      <c r="M154" s="1"/>
      <c r="N154" s="1"/>
      <c r="O154" s="1"/>
      <c r="P154" s="1"/>
      <c r="Q154" s="1"/>
      <c r="R154" s="1"/>
      <c r="S154" s="1"/>
      <c r="T154" s="1"/>
      <c r="U154" s="1"/>
      <c r="V154" s="1"/>
      <c r="W154" s="1"/>
      <c r="X154" s="1"/>
      <c r="Y154" s="1"/>
      <c r="Z154" s="1"/>
      <c r="AA154" s="1"/>
      <c r="AB154" s="1"/>
    </row>
    <row r="155" spans="1:28" ht="14.25" customHeight="1" x14ac:dyDescent="0.2">
      <c r="A155" s="72"/>
      <c r="B155" s="17">
        <v>154</v>
      </c>
      <c r="C155" s="6" t="s">
        <v>24</v>
      </c>
      <c r="D155" s="6" t="s">
        <v>436</v>
      </c>
      <c r="E155" s="15" t="s">
        <v>437</v>
      </c>
      <c r="F155" s="15" t="s">
        <v>436</v>
      </c>
      <c r="G155" s="16" t="s">
        <v>65</v>
      </c>
      <c r="H155" s="16" t="s">
        <v>36</v>
      </c>
      <c r="I155" s="16" t="s">
        <v>51</v>
      </c>
      <c r="J155" s="15" t="s">
        <v>51</v>
      </c>
      <c r="K155" s="15" t="s">
        <v>51</v>
      </c>
      <c r="L155" s="15"/>
      <c r="M155" s="1"/>
      <c r="N155" s="1"/>
      <c r="O155" s="1"/>
      <c r="P155" s="1"/>
      <c r="Q155" s="1"/>
      <c r="R155" s="1"/>
      <c r="S155" s="1"/>
      <c r="T155" s="1"/>
      <c r="U155" s="1"/>
      <c r="V155" s="1"/>
      <c r="W155" s="1"/>
      <c r="X155" s="1"/>
      <c r="Y155" s="1"/>
      <c r="Z155" s="1"/>
      <c r="AA155" s="1"/>
      <c r="AB155" s="1"/>
    </row>
    <row r="156" spans="1:28" ht="14.25" customHeight="1" x14ac:dyDescent="0.2">
      <c r="A156" s="72"/>
      <c r="B156" s="17">
        <v>155</v>
      </c>
      <c r="C156" s="6" t="s">
        <v>24</v>
      </c>
      <c r="D156" s="6" t="s">
        <v>438</v>
      </c>
      <c r="E156" s="15" t="s">
        <v>439</v>
      </c>
      <c r="F156" s="15" t="s">
        <v>438</v>
      </c>
      <c r="G156" s="16" t="s">
        <v>65</v>
      </c>
      <c r="H156" s="16" t="s">
        <v>36</v>
      </c>
      <c r="I156" s="16" t="s">
        <v>51</v>
      </c>
      <c r="J156" s="15" t="s">
        <v>51</v>
      </c>
      <c r="K156" s="15" t="s">
        <v>51</v>
      </c>
      <c r="L156" s="15"/>
      <c r="M156" s="1"/>
      <c r="N156" s="1"/>
      <c r="O156" s="1"/>
      <c r="P156" s="1"/>
      <c r="Q156" s="1"/>
      <c r="R156" s="1"/>
      <c r="S156" s="1"/>
      <c r="T156" s="1"/>
      <c r="U156" s="1"/>
      <c r="V156" s="1"/>
      <c r="W156" s="1"/>
      <c r="X156" s="1"/>
      <c r="Y156" s="1"/>
      <c r="Z156" s="1"/>
      <c r="AA156" s="1"/>
      <c r="AB156" s="1"/>
    </row>
    <row r="157" spans="1:28" ht="128" x14ac:dyDescent="0.2">
      <c r="A157" s="72"/>
      <c r="B157" s="17">
        <v>156</v>
      </c>
      <c r="C157" s="6" t="s">
        <v>24</v>
      </c>
      <c r="D157" s="18" t="s">
        <v>440</v>
      </c>
      <c r="E157" s="15" t="s">
        <v>441</v>
      </c>
      <c r="F157" s="15" t="s">
        <v>442</v>
      </c>
      <c r="G157" s="16" t="s">
        <v>65</v>
      </c>
      <c r="H157" s="16" t="s">
        <v>51</v>
      </c>
      <c r="I157" s="16" t="s">
        <v>52</v>
      </c>
      <c r="J157" s="15" t="s">
        <v>51</v>
      </c>
      <c r="K157" s="15" t="s">
        <v>52</v>
      </c>
      <c r="L157" s="15"/>
      <c r="M157" s="1"/>
      <c r="N157" s="1"/>
      <c r="O157" s="1"/>
      <c r="P157" s="1"/>
      <c r="Q157" s="1"/>
      <c r="R157" s="1"/>
      <c r="S157" s="1"/>
      <c r="T157" s="1"/>
      <c r="U157" s="1"/>
      <c r="V157" s="1"/>
      <c r="W157" s="1"/>
      <c r="X157" s="1"/>
      <c r="Y157" s="1"/>
      <c r="Z157" s="1"/>
      <c r="AA157" s="1"/>
      <c r="AB157" s="1"/>
    </row>
    <row r="158" spans="1:28" ht="14.25" customHeight="1" x14ac:dyDescent="0.2">
      <c r="A158" s="72"/>
      <c r="B158" s="17">
        <v>157</v>
      </c>
      <c r="C158" s="6" t="s">
        <v>24</v>
      </c>
      <c r="D158" s="6" t="s">
        <v>443</v>
      </c>
      <c r="E158" s="15" t="s">
        <v>444</v>
      </c>
      <c r="F158" s="15" t="s">
        <v>445</v>
      </c>
      <c r="G158" s="16" t="s">
        <v>65</v>
      </c>
      <c r="H158" s="16" t="s">
        <v>36</v>
      </c>
      <c r="I158" s="16" t="s">
        <v>51</v>
      </c>
      <c r="J158" s="15" t="s">
        <v>51</v>
      </c>
      <c r="K158" s="15" t="s">
        <v>51</v>
      </c>
      <c r="L158" s="15"/>
      <c r="M158" s="1"/>
      <c r="N158" s="1"/>
      <c r="O158" s="1"/>
      <c r="P158" s="1"/>
      <c r="Q158" s="1"/>
      <c r="R158" s="1"/>
      <c r="S158" s="1"/>
      <c r="T158" s="1"/>
      <c r="U158" s="1"/>
      <c r="V158" s="1"/>
      <c r="W158" s="1"/>
      <c r="X158" s="1"/>
      <c r="Y158" s="1"/>
      <c r="Z158" s="1"/>
      <c r="AA158" s="1"/>
      <c r="AB158" s="1"/>
    </row>
    <row r="159" spans="1:28" ht="14.25" customHeight="1" x14ac:dyDescent="0.2">
      <c r="A159" s="72"/>
      <c r="B159" s="17">
        <v>158</v>
      </c>
      <c r="C159" s="6" t="s">
        <v>24</v>
      </c>
      <c r="D159" s="6" t="s">
        <v>446</v>
      </c>
      <c r="E159" s="15" t="s">
        <v>447</v>
      </c>
      <c r="F159" s="15" t="s">
        <v>446</v>
      </c>
      <c r="G159" s="16" t="s">
        <v>65</v>
      </c>
      <c r="H159" s="16" t="s">
        <v>51</v>
      </c>
      <c r="I159" s="16" t="s">
        <v>52</v>
      </c>
      <c r="J159" s="15" t="s">
        <v>51</v>
      </c>
      <c r="K159" s="15" t="s">
        <v>52</v>
      </c>
      <c r="L159" s="15"/>
      <c r="M159" s="1"/>
      <c r="N159" s="1"/>
      <c r="O159" s="1"/>
      <c r="P159" s="1"/>
      <c r="Q159" s="1"/>
      <c r="R159" s="1"/>
      <c r="S159" s="1"/>
      <c r="T159" s="1"/>
      <c r="U159" s="1"/>
      <c r="V159" s="1"/>
      <c r="W159" s="1"/>
      <c r="X159" s="1"/>
      <c r="Y159" s="1"/>
      <c r="Z159" s="1"/>
      <c r="AA159" s="1"/>
      <c r="AB159" s="1"/>
    </row>
    <row r="160" spans="1:28" ht="14.25" customHeight="1" x14ac:dyDescent="0.2">
      <c r="A160" s="72"/>
      <c r="B160" s="17">
        <v>159</v>
      </c>
      <c r="C160" s="6" t="s">
        <v>24</v>
      </c>
      <c r="D160" s="6" t="s">
        <v>448</v>
      </c>
      <c r="E160" s="15" t="s">
        <v>449</v>
      </c>
      <c r="F160" s="15" t="s">
        <v>450</v>
      </c>
      <c r="G160" s="16" t="s">
        <v>65</v>
      </c>
      <c r="H160" s="16" t="s">
        <v>36</v>
      </c>
      <c r="I160" s="16" t="s">
        <v>51</v>
      </c>
      <c r="J160" s="15" t="s">
        <v>51</v>
      </c>
      <c r="K160" s="15" t="s">
        <v>51</v>
      </c>
      <c r="L160" s="15"/>
      <c r="M160" s="1"/>
      <c r="N160" s="1"/>
      <c r="O160" s="1"/>
      <c r="P160" s="1"/>
      <c r="Q160" s="1"/>
      <c r="R160" s="1"/>
      <c r="S160" s="1"/>
      <c r="T160" s="1"/>
      <c r="U160" s="1"/>
      <c r="V160" s="1"/>
      <c r="W160" s="1"/>
      <c r="X160" s="1"/>
      <c r="Y160" s="1"/>
      <c r="Z160" s="1"/>
      <c r="AA160" s="1"/>
      <c r="AB160" s="1"/>
    </row>
    <row r="161" spans="1:28" ht="14.25" customHeight="1" x14ac:dyDescent="0.2">
      <c r="A161" s="72"/>
      <c r="B161" s="17">
        <v>160</v>
      </c>
      <c r="C161" s="6" t="s">
        <v>24</v>
      </c>
      <c r="D161" s="6" t="s">
        <v>451</v>
      </c>
      <c r="E161" s="15" t="s">
        <v>452</v>
      </c>
      <c r="F161" s="15" t="s">
        <v>451</v>
      </c>
      <c r="G161" s="16" t="s">
        <v>65</v>
      </c>
      <c r="H161" s="16" t="s">
        <v>36</v>
      </c>
      <c r="I161" s="16" t="s">
        <v>51</v>
      </c>
      <c r="J161" s="15" t="s">
        <v>51</v>
      </c>
      <c r="K161" s="15" t="s">
        <v>51</v>
      </c>
      <c r="L161" s="15"/>
      <c r="M161" s="1"/>
      <c r="N161" s="1"/>
      <c r="O161" s="1"/>
      <c r="P161" s="1"/>
      <c r="Q161" s="1"/>
      <c r="R161" s="1"/>
      <c r="S161" s="1"/>
      <c r="T161" s="1"/>
      <c r="U161" s="1"/>
      <c r="V161" s="1"/>
      <c r="W161" s="1"/>
      <c r="X161" s="1"/>
      <c r="Y161" s="1"/>
      <c r="Z161" s="1"/>
      <c r="AA161" s="1"/>
      <c r="AB161" s="1"/>
    </row>
    <row r="162" spans="1:28" ht="14.25" customHeight="1" x14ac:dyDescent="0.2">
      <c r="A162" s="72"/>
      <c r="B162" s="17">
        <v>161</v>
      </c>
      <c r="C162" s="6" t="s">
        <v>24</v>
      </c>
      <c r="D162" s="6" t="s">
        <v>453</v>
      </c>
      <c r="E162" s="15" t="s">
        <v>454</v>
      </c>
      <c r="F162" s="15" t="s">
        <v>455</v>
      </c>
      <c r="G162" s="16" t="s">
        <v>65</v>
      </c>
      <c r="H162" s="16" t="s">
        <v>36</v>
      </c>
      <c r="I162" s="16" t="s">
        <v>51</v>
      </c>
      <c r="J162" s="15" t="s">
        <v>51</v>
      </c>
      <c r="K162" s="15" t="s">
        <v>51</v>
      </c>
      <c r="L162" s="15" t="s">
        <v>456</v>
      </c>
      <c r="M162" s="1"/>
      <c r="N162" s="1"/>
      <c r="O162" s="1"/>
      <c r="P162" s="1"/>
      <c r="Q162" s="1"/>
      <c r="R162" s="1"/>
      <c r="S162" s="1"/>
      <c r="T162" s="1"/>
      <c r="U162" s="1"/>
      <c r="V162" s="1"/>
      <c r="W162" s="1"/>
      <c r="X162" s="1"/>
      <c r="Y162" s="1"/>
      <c r="Z162" s="1"/>
      <c r="AA162" s="1"/>
      <c r="AB162" s="1"/>
    </row>
    <row r="163" spans="1:28" ht="14.25" customHeight="1" x14ac:dyDescent="0.2">
      <c r="A163" s="72"/>
      <c r="B163" s="17">
        <v>162</v>
      </c>
      <c r="C163" s="6" t="s">
        <v>24</v>
      </c>
      <c r="D163" s="6" t="s">
        <v>457</v>
      </c>
      <c r="E163" s="15" t="s">
        <v>458</v>
      </c>
      <c r="F163" s="15" t="s">
        <v>459</v>
      </c>
      <c r="G163" s="16" t="s">
        <v>65</v>
      </c>
      <c r="H163" s="16" t="s">
        <v>51</v>
      </c>
      <c r="I163" s="16" t="s">
        <v>52</v>
      </c>
      <c r="J163" s="15" t="s">
        <v>51</v>
      </c>
      <c r="K163" s="15" t="s">
        <v>52</v>
      </c>
      <c r="L163" s="15"/>
      <c r="M163" s="1"/>
      <c r="N163" s="1"/>
      <c r="O163" s="1"/>
      <c r="P163" s="1"/>
      <c r="Q163" s="1"/>
      <c r="R163" s="1"/>
      <c r="S163" s="1"/>
      <c r="T163" s="1"/>
      <c r="U163" s="1"/>
      <c r="V163" s="1"/>
      <c r="W163" s="1"/>
      <c r="X163" s="1"/>
      <c r="Y163" s="1"/>
      <c r="Z163" s="1"/>
      <c r="AA163" s="1"/>
      <c r="AB163" s="1"/>
    </row>
    <row r="164" spans="1:28" ht="14.25" customHeight="1" x14ac:dyDescent="0.2">
      <c r="A164" s="72"/>
      <c r="B164" s="17">
        <v>163</v>
      </c>
      <c r="C164" s="6" t="s">
        <v>24</v>
      </c>
      <c r="D164" s="6" t="s">
        <v>460</v>
      </c>
      <c r="E164" s="15" t="s">
        <v>461</v>
      </c>
      <c r="F164" s="15" t="s">
        <v>460</v>
      </c>
      <c r="G164" s="16" t="s">
        <v>65</v>
      </c>
      <c r="H164" s="16" t="s">
        <v>36</v>
      </c>
      <c r="I164" s="16" t="s">
        <v>51</v>
      </c>
      <c r="J164" s="15" t="s">
        <v>51</v>
      </c>
      <c r="K164" s="15" t="s">
        <v>51</v>
      </c>
      <c r="L164" s="15" t="s">
        <v>462</v>
      </c>
      <c r="M164" s="1"/>
      <c r="N164" s="1"/>
      <c r="O164" s="1"/>
      <c r="P164" s="1"/>
      <c r="Q164" s="1"/>
      <c r="R164" s="1"/>
      <c r="S164" s="1"/>
      <c r="T164" s="1"/>
      <c r="U164" s="1"/>
      <c r="V164" s="1"/>
      <c r="W164" s="1"/>
      <c r="X164" s="1"/>
      <c r="Y164" s="1"/>
      <c r="Z164" s="1"/>
      <c r="AA164" s="1"/>
      <c r="AB164" s="1"/>
    </row>
    <row r="165" spans="1:28" ht="14.25" customHeight="1" x14ac:dyDescent="0.2">
      <c r="A165" s="72"/>
      <c r="B165" s="17">
        <v>164</v>
      </c>
      <c r="C165" s="6" t="s">
        <v>24</v>
      </c>
      <c r="D165" s="6" t="s">
        <v>463</v>
      </c>
      <c r="E165" s="15" t="s">
        <v>464</v>
      </c>
      <c r="F165" s="15" t="s">
        <v>465</v>
      </c>
      <c r="G165" s="16" t="s">
        <v>65</v>
      </c>
      <c r="H165" s="16" t="s">
        <v>36</v>
      </c>
      <c r="I165" s="16" t="s">
        <v>51</v>
      </c>
      <c r="J165" s="15" t="s">
        <v>51</v>
      </c>
      <c r="K165" s="15" t="s">
        <v>51</v>
      </c>
      <c r="L165" s="15"/>
      <c r="M165" s="1"/>
      <c r="N165" s="1"/>
      <c r="O165" s="1"/>
      <c r="P165" s="1"/>
      <c r="Q165" s="1"/>
      <c r="R165" s="1"/>
      <c r="S165" s="1"/>
      <c r="T165" s="1"/>
      <c r="U165" s="1"/>
      <c r="V165" s="1"/>
      <c r="W165" s="1"/>
      <c r="X165" s="1"/>
      <c r="Y165" s="1"/>
      <c r="Z165" s="1"/>
      <c r="AA165" s="1"/>
      <c r="AB165" s="1"/>
    </row>
    <row r="166" spans="1:28" ht="144" x14ac:dyDescent="0.2">
      <c r="A166" s="72"/>
      <c r="B166" s="17">
        <v>165</v>
      </c>
      <c r="C166" s="6" t="s">
        <v>24</v>
      </c>
      <c r="D166" s="18" t="s">
        <v>466</v>
      </c>
      <c r="E166" s="15" t="s">
        <v>467</v>
      </c>
      <c r="F166" s="15" t="s">
        <v>468</v>
      </c>
      <c r="G166" s="16" t="s">
        <v>35</v>
      </c>
      <c r="H166" s="16" t="s">
        <v>51</v>
      </c>
      <c r="I166" s="16" t="s">
        <v>52</v>
      </c>
      <c r="J166" s="15" t="s">
        <v>51</v>
      </c>
      <c r="K166" s="15" t="s">
        <v>52</v>
      </c>
      <c r="L166" s="15"/>
      <c r="M166" s="1"/>
      <c r="N166" s="1"/>
      <c r="O166" s="1"/>
      <c r="P166" s="1"/>
      <c r="Q166" s="1"/>
      <c r="R166" s="1"/>
      <c r="S166" s="1"/>
      <c r="T166" s="1"/>
      <c r="U166" s="1"/>
      <c r="V166" s="1"/>
      <c r="W166" s="1"/>
      <c r="X166" s="1"/>
      <c r="Y166" s="1"/>
      <c r="Z166" s="1"/>
      <c r="AA166" s="1"/>
      <c r="AB166" s="1"/>
    </row>
    <row r="167" spans="1:28" ht="14.25" customHeight="1" x14ac:dyDescent="0.2">
      <c r="A167" s="72"/>
      <c r="B167" s="17">
        <v>166</v>
      </c>
      <c r="C167" s="6" t="s">
        <v>24</v>
      </c>
      <c r="D167" s="6" t="s">
        <v>469</v>
      </c>
      <c r="E167" s="15" t="s">
        <v>470</v>
      </c>
      <c r="F167" s="15" t="s">
        <v>471</v>
      </c>
      <c r="G167" s="16" t="s">
        <v>65</v>
      </c>
      <c r="H167" s="16" t="s">
        <v>36</v>
      </c>
      <c r="I167" s="16" t="s">
        <v>51</v>
      </c>
      <c r="J167" s="15" t="s">
        <v>51</v>
      </c>
      <c r="K167" s="15" t="s">
        <v>51</v>
      </c>
      <c r="L167" s="15"/>
      <c r="M167" s="1"/>
      <c r="N167" s="1"/>
      <c r="O167" s="1"/>
      <c r="P167" s="1"/>
      <c r="Q167" s="1"/>
      <c r="R167" s="1"/>
      <c r="S167" s="1"/>
      <c r="T167" s="1"/>
      <c r="U167" s="1"/>
      <c r="V167" s="1"/>
      <c r="W167" s="1"/>
      <c r="X167" s="1"/>
      <c r="Y167" s="1"/>
      <c r="Z167" s="1"/>
      <c r="AA167" s="1"/>
      <c r="AB167" s="1"/>
    </row>
    <row r="168" spans="1:28" ht="64" x14ac:dyDescent="0.2">
      <c r="A168" s="72"/>
      <c r="B168" s="17">
        <v>167</v>
      </c>
      <c r="C168" s="6" t="s">
        <v>24</v>
      </c>
      <c r="D168" s="18" t="s">
        <v>472</v>
      </c>
      <c r="E168" s="15" t="s">
        <v>473</v>
      </c>
      <c r="F168" s="15" t="s">
        <v>474</v>
      </c>
      <c r="G168" s="16" t="s">
        <v>65</v>
      </c>
      <c r="H168" s="16" t="s">
        <v>36</v>
      </c>
      <c r="I168" s="16" t="s">
        <v>51</v>
      </c>
      <c r="J168" s="15" t="s">
        <v>51</v>
      </c>
      <c r="K168" s="15" t="s">
        <v>51</v>
      </c>
      <c r="L168" s="15" t="s">
        <v>462</v>
      </c>
      <c r="M168" s="1"/>
      <c r="N168" s="1"/>
      <c r="O168" s="1"/>
      <c r="P168" s="1"/>
      <c r="Q168" s="1"/>
      <c r="R168" s="1"/>
      <c r="S168" s="1"/>
      <c r="T168" s="1"/>
      <c r="U168" s="1"/>
      <c r="V168" s="1"/>
      <c r="W168" s="1"/>
      <c r="X168" s="1"/>
      <c r="Y168" s="1"/>
      <c r="Z168" s="1"/>
      <c r="AA168" s="1"/>
      <c r="AB168" s="1"/>
    </row>
    <row r="169" spans="1:28" ht="14.25" customHeight="1" x14ac:dyDescent="0.2">
      <c r="A169" s="72"/>
      <c r="B169" s="17">
        <v>168</v>
      </c>
      <c r="C169" s="6" t="s">
        <v>24</v>
      </c>
      <c r="D169" s="6" t="s">
        <v>475</v>
      </c>
      <c r="E169" s="15" t="s">
        <v>476</v>
      </c>
      <c r="F169" s="15" t="s">
        <v>475</v>
      </c>
      <c r="G169" s="16" t="s">
        <v>65</v>
      </c>
      <c r="H169" s="16" t="s">
        <v>36</v>
      </c>
      <c r="I169" s="16" t="s">
        <v>51</v>
      </c>
      <c r="J169" s="15" t="s">
        <v>51</v>
      </c>
      <c r="K169" s="15" t="s">
        <v>51</v>
      </c>
      <c r="L169" s="15" t="s">
        <v>477</v>
      </c>
      <c r="M169" s="1"/>
      <c r="N169" s="1"/>
      <c r="O169" s="1"/>
      <c r="P169" s="1"/>
      <c r="Q169" s="1"/>
      <c r="R169" s="1"/>
      <c r="S169" s="1"/>
      <c r="T169" s="1"/>
      <c r="U169" s="1"/>
      <c r="V169" s="1"/>
      <c r="W169" s="1"/>
      <c r="X169" s="1"/>
      <c r="Y169" s="1"/>
      <c r="Z169" s="1"/>
      <c r="AA169" s="1"/>
      <c r="AB169" s="1"/>
    </row>
    <row r="170" spans="1:28" ht="112" x14ac:dyDescent="0.2">
      <c r="A170" s="72"/>
      <c r="B170" s="17">
        <v>169</v>
      </c>
      <c r="C170" s="6" t="s">
        <v>24</v>
      </c>
      <c r="D170" s="15" t="s">
        <v>478</v>
      </c>
      <c r="E170" s="15" t="s">
        <v>479</v>
      </c>
      <c r="F170" s="15" t="s">
        <v>480</v>
      </c>
      <c r="G170" s="16" t="s">
        <v>65</v>
      </c>
      <c r="H170" s="16" t="s">
        <v>51</v>
      </c>
      <c r="I170" s="16" t="s">
        <v>52</v>
      </c>
      <c r="J170" s="15" t="s">
        <v>51</v>
      </c>
      <c r="K170" s="15" t="s">
        <v>52</v>
      </c>
      <c r="L170" s="15"/>
      <c r="M170" s="1"/>
      <c r="N170" s="1"/>
      <c r="O170" s="1"/>
      <c r="P170" s="1"/>
      <c r="Q170" s="1"/>
      <c r="R170" s="1"/>
      <c r="S170" s="1"/>
      <c r="T170" s="1"/>
      <c r="U170" s="1"/>
      <c r="V170" s="1"/>
      <c r="W170" s="1"/>
      <c r="X170" s="1"/>
      <c r="Y170" s="1"/>
      <c r="Z170" s="1"/>
      <c r="AA170" s="1"/>
      <c r="AB170" s="1"/>
    </row>
    <row r="171" spans="1:28" ht="14.25" customHeight="1" x14ac:dyDescent="0.2">
      <c r="A171" s="72"/>
      <c r="B171" s="17">
        <v>170</v>
      </c>
      <c r="C171" s="6" t="s">
        <v>24</v>
      </c>
      <c r="D171" s="6" t="s">
        <v>481</v>
      </c>
      <c r="E171" s="15" t="s">
        <v>482</v>
      </c>
      <c r="F171" s="15" t="s">
        <v>481</v>
      </c>
      <c r="G171" s="16" t="s">
        <v>65</v>
      </c>
      <c r="H171" s="16" t="s">
        <v>36</v>
      </c>
      <c r="I171" s="16" t="s">
        <v>51</v>
      </c>
      <c r="J171" s="15" t="s">
        <v>51</v>
      </c>
      <c r="K171" s="15" t="s">
        <v>51</v>
      </c>
      <c r="L171" s="15"/>
      <c r="M171" s="1"/>
      <c r="N171" s="1"/>
      <c r="O171" s="1"/>
      <c r="P171" s="1"/>
      <c r="Q171" s="1"/>
      <c r="R171" s="1"/>
      <c r="S171" s="1"/>
      <c r="T171" s="1"/>
      <c r="U171" s="1"/>
      <c r="V171" s="1"/>
      <c r="W171" s="1"/>
      <c r="X171" s="1"/>
      <c r="Y171" s="1"/>
      <c r="Z171" s="1"/>
      <c r="AA171" s="1"/>
      <c r="AB171" s="1"/>
    </row>
    <row r="172" spans="1:28" ht="14.25" customHeight="1" x14ac:dyDescent="0.2">
      <c r="A172" s="72"/>
      <c r="B172" s="17">
        <v>171</v>
      </c>
      <c r="C172" s="6" t="s">
        <v>24</v>
      </c>
      <c r="D172" s="6" t="s">
        <v>483</v>
      </c>
      <c r="E172" s="15" t="s">
        <v>484</v>
      </c>
      <c r="F172" s="15" t="s">
        <v>483</v>
      </c>
      <c r="G172" s="16" t="s">
        <v>65</v>
      </c>
      <c r="H172" s="16" t="s">
        <v>36</v>
      </c>
      <c r="I172" s="16" t="s">
        <v>51</v>
      </c>
      <c r="J172" s="15" t="s">
        <v>51</v>
      </c>
      <c r="K172" s="15" t="s">
        <v>51</v>
      </c>
      <c r="L172" s="15" t="s">
        <v>485</v>
      </c>
      <c r="M172" s="1"/>
      <c r="N172" s="1"/>
      <c r="O172" s="1"/>
      <c r="P172" s="1"/>
      <c r="Q172" s="1"/>
      <c r="R172" s="1"/>
      <c r="S172" s="1"/>
      <c r="T172" s="1"/>
      <c r="U172" s="1"/>
      <c r="V172" s="1"/>
      <c r="W172" s="1"/>
      <c r="X172" s="1"/>
      <c r="Y172" s="1"/>
      <c r="Z172" s="1"/>
      <c r="AA172" s="1"/>
      <c r="AB172" s="1"/>
    </row>
    <row r="173" spans="1:28" ht="14.25" customHeight="1" x14ac:dyDescent="0.2">
      <c r="A173" s="72"/>
      <c r="B173" s="17">
        <v>172</v>
      </c>
      <c r="C173" s="6" t="s">
        <v>24</v>
      </c>
      <c r="D173" s="6" t="s">
        <v>486</v>
      </c>
      <c r="E173" s="15" t="s">
        <v>487</v>
      </c>
      <c r="F173" s="15" t="s">
        <v>486</v>
      </c>
      <c r="G173" s="16" t="s">
        <v>65</v>
      </c>
      <c r="H173" s="16" t="s">
        <v>36</v>
      </c>
      <c r="I173" s="16" t="s">
        <v>51</v>
      </c>
      <c r="J173" s="15" t="s">
        <v>51</v>
      </c>
      <c r="K173" s="15" t="s">
        <v>51</v>
      </c>
      <c r="L173" s="15"/>
      <c r="M173" s="1"/>
      <c r="N173" s="1"/>
      <c r="O173" s="1"/>
      <c r="P173" s="1"/>
      <c r="Q173" s="1"/>
      <c r="R173" s="1"/>
      <c r="S173" s="1"/>
      <c r="T173" s="1"/>
      <c r="U173" s="1"/>
      <c r="V173" s="1"/>
      <c r="W173" s="1"/>
      <c r="X173" s="1"/>
      <c r="Y173" s="1"/>
      <c r="Z173" s="1"/>
      <c r="AA173" s="1"/>
      <c r="AB173" s="1"/>
    </row>
    <row r="174" spans="1:28" ht="14.25" customHeight="1" x14ac:dyDescent="0.2">
      <c r="A174" s="72"/>
      <c r="B174" s="17">
        <v>173</v>
      </c>
      <c r="C174" s="6" t="s">
        <v>24</v>
      </c>
      <c r="D174" s="6" t="s">
        <v>488</v>
      </c>
      <c r="E174" s="15" t="s">
        <v>489</v>
      </c>
      <c r="F174" s="15" t="s">
        <v>490</v>
      </c>
      <c r="G174" s="16" t="s">
        <v>65</v>
      </c>
      <c r="H174" s="16" t="s">
        <v>36</v>
      </c>
      <c r="I174" s="16" t="s">
        <v>51</v>
      </c>
      <c r="J174" s="15" t="s">
        <v>51</v>
      </c>
      <c r="K174" s="15" t="s">
        <v>51</v>
      </c>
      <c r="L174" s="15" t="s">
        <v>491</v>
      </c>
      <c r="M174" s="1"/>
      <c r="N174" s="1"/>
      <c r="O174" s="1"/>
      <c r="P174" s="1"/>
      <c r="Q174" s="1"/>
      <c r="R174" s="1"/>
      <c r="S174" s="1"/>
      <c r="T174" s="1"/>
      <c r="U174" s="1"/>
      <c r="V174" s="1"/>
      <c r="W174" s="1"/>
      <c r="X174" s="1"/>
      <c r="Y174" s="1"/>
      <c r="Z174" s="1"/>
      <c r="AA174" s="1"/>
      <c r="AB174" s="1"/>
    </row>
    <row r="175" spans="1:28" ht="14.25" customHeight="1" x14ac:dyDescent="0.2">
      <c r="A175" s="72"/>
      <c r="B175" s="17">
        <v>174</v>
      </c>
      <c r="C175" s="6" t="s">
        <v>24</v>
      </c>
      <c r="D175" s="6" t="s">
        <v>492</v>
      </c>
      <c r="E175" s="15" t="s">
        <v>493</v>
      </c>
      <c r="F175" s="15" t="s">
        <v>492</v>
      </c>
      <c r="G175" s="16" t="s">
        <v>65</v>
      </c>
      <c r="H175" s="16" t="s">
        <v>36</v>
      </c>
      <c r="I175" s="16" t="s">
        <v>51</v>
      </c>
      <c r="J175" s="15" t="s">
        <v>51</v>
      </c>
      <c r="K175" s="15" t="s">
        <v>51</v>
      </c>
      <c r="L175" s="15" t="s">
        <v>358</v>
      </c>
      <c r="M175" s="1"/>
      <c r="N175" s="1"/>
      <c r="O175" s="1"/>
      <c r="P175" s="1"/>
      <c r="Q175" s="1"/>
      <c r="R175" s="1"/>
      <c r="S175" s="1"/>
      <c r="T175" s="1"/>
      <c r="U175" s="1"/>
      <c r="V175" s="1"/>
      <c r="W175" s="1"/>
      <c r="X175" s="1"/>
      <c r="Y175" s="1"/>
      <c r="Z175" s="1"/>
      <c r="AA175" s="1"/>
      <c r="AB175" s="1"/>
    </row>
    <row r="176" spans="1:28" ht="14.25" customHeight="1" x14ac:dyDescent="0.2">
      <c r="A176" s="72"/>
      <c r="B176" s="17">
        <v>175</v>
      </c>
      <c r="C176" s="6" t="s">
        <v>24</v>
      </c>
      <c r="D176" s="6" t="s">
        <v>494</v>
      </c>
      <c r="E176" s="15" t="s">
        <v>495</v>
      </c>
      <c r="F176" s="15" t="s">
        <v>494</v>
      </c>
      <c r="G176" s="16" t="s">
        <v>65</v>
      </c>
      <c r="H176" s="16" t="s">
        <v>36</v>
      </c>
      <c r="I176" s="16" t="s">
        <v>51</v>
      </c>
      <c r="J176" s="15" t="s">
        <v>51</v>
      </c>
      <c r="K176" s="15" t="s">
        <v>51</v>
      </c>
      <c r="L176" s="15" t="s">
        <v>496</v>
      </c>
      <c r="M176" s="1"/>
      <c r="N176" s="1"/>
      <c r="O176" s="1"/>
      <c r="P176" s="1"/>
      <c r="Q176" s="1"/>
      <c r="R176" s="1"/>
      <c r="S176" s="1"/>
      <c r="T176" s="1"/>
      <c r="U176" s="1"/>
      <c r="V176" s="1"/>
      <c r="W176" s="1"/>
      <c r="X176" s="1"/>
      <c r="Y176" s="1"/>
      <c r="Z176" s="1"/>
      <c r="AA176" s="1"/>
      <c r="AB176" s="1"/>
    </row>
    <row r="177" spans="1:28" ht="14.25" customHeight="1" x14ac:dyDescent="0.2">
      <c r="A177" s="72"/>
      <c r="B177" s="17">
        <v>176</v>
      </c>
      <c r="C177" s="6" t="s">
        <v>24</v>
      </c>
      <c r="D177" s="6" t="s">
        <v>497</v>
      </c>
      <c r="E177" s="15" t="s">
        <v>498</v>
      </c>
      <c r="F177" s="15" t="s">
        <v>499</v>
      </c>
      <c r="G177" s="16" t="s">
        <v>65</v>
      </c>
      <c r="H177" s="16" t="s">
        <v>36</v>
      </c>
      <c r="I177" s="16" t="s">
        <v>51</v>
      </c>
      <c r="J177" s="15" t="s">
        <v>51</v>
      </c>
      <c r="K177" s="15" t="s">
        <v>51</v>
      </c>
      <c r="L177" s="15"/>
      <c r="M177" s="1"/>
      <c r="N177" s="1"/>
      <c r="O177" s="1"/>
      <c r="P177" s="1"/>
      <c r="Q177" s="1"/>
      <c r="R177" s="1"/>
      <c r="S177" s="1"/>
      <c r="T177" s="1"/>
      <c r="U177" s="1"/>
      <c r="V177" s="1"/>
      <c r="W177" s="1"/>
      <c r="X177" s="1"/>
      <c r="Y177" s="1"/>
      <c r="Z177" s="1"/>
      <c r="AA177" s="1"/>
      <c r="AB177" s="1"/>
    </row>
    <row r="178" spans="1:28" ht="14.25" customHeight="1" x14ac:dyDescent="0.2">
      <c r="A178" s="72"/>
      <c r="B178" s="17">
        <v>177</v>
      </c>
      <c r="C178" s="6" t="s">
        <v>24</v>
      </c>
      <c r="D178" s="6" t="s">
        <v>500</v>
      </c>
      <c r="E178" s="15" t="s">
        <v>501</v>
      </c>
      <c r="F178" s="15" t="s">
        <v>502</v>
      </c>
      <c r="G178" s="16" t="s">
        <v>65</v>
      </c>
      <c r="H178" s="16" t="s">
        <v>36</v>
      </c>
      <c r="I178" s="16" t="s">
        <v>51</v>
      </c>
      <c r="J178" s="15" t="s">
        <v>51</v>
      </c>
      <c r="K178" s="15" t="s">
        <v>51</v>
      </c>
      <c r="L178" s="15"/>
      <c r="M178" s="1"/>
      <c r="N178" s="1"/>
      <c r="O178" s="1"/>
      <c r="P178" s="1"/>
      <c r="Q178" s="1"/>
      <c r="R178" s="1"/>
      <c r="S178" s="1"/>
      <c r="T178" s="1"/>
      <c r="U178" s="1"/>
      <c r="V178" s="1"/>
      <c r="W178" s="1"/>
      <c r="X178" s="1"/>
      <c r="Y178" s="1"/>
      <c r="Z178" s="1"/>
      <c r="AA178" s="1"/>
      <c r="AB178" s="1"/>
    </row>
    <row r="179" spans="1:28" ht="14.25" customHeight="1" x14ac:dyDescent="0.2">
      <c r="A179" s="72"/>
      <c r="B179" s="17">
        <v>178</v>
      </c>
      <c r="C179" s="6" t="s">
        <v>24</v>
      </c>
      <c r="D179" s="6" t="s">
        <v>503</v>
      </c>
      <c r="E179" s="15" t="s">
        <v>504</v>
      </c>
      <c r="F179" s="15" t="s">
        <v>505</v>
      </c>
      <c r="G179" s="16" t="s">
        <v>65</v>
      </c>
      <c r="H179" s="16" t="s">
        <v>36</v>
      </c>
      <c r="I179" s="16" t="s">
        <v>51</v>
      </c>
      <c r="J179" s="15" t="s">
        <v>51</v>
      </c>
      <c r="K179" s="15" t="s">
        <v>51</v>
      </c>
      <c r="L179" s="15"/>
      <c r="M179" s="1"/>
      <c r="N179" s="1"/>
      <c r="O179" s="1"/>
      <c r="P179" s="1"/>
      <c r="Q179" s="1"/>
      <c r="R179" s="1"/>
      <c r="S179" s="1"/>
      <c r="T179" s="1"/>
      <c r="U179" s="1"/>
      <c r="V179" s="1"/>
      <c r="W179" s="1"/>
      <c r="X179" s="1"/>
      <c r="Y179" s="1"/>
      <c r="Z179" s="1"/>
      <c r="AA179" s="1"/>
      <c r="AB179" s="1"/>
    </row>
    <row r="180" spans="1:28" ht="14.25" customHeight="1" x14ac:dyDescent="0.2">
      <c r="A180" s="72"/>
      <c r="B180" s="17">
        <v>179</v>
      </c>
      <c r="C180" s="6" t="s">
        <v>24</v>
      </c>
      <c r="D180" s="6" t="s">
        <v>506</v>
      </c>
      <c r="E180" s="15" t="s">
        <v>507</v>
      </c>
      <c r="F180" s="15" t="s">
        <v>506</v>
      </c>
      <c r="G180" s="16" t="s">
        <v>65</v>
      </c>
      <c r="H180" s="16" t="s">
        <v>36</v>
      </c>
      <c r="I180" s="16" t="s">
        <v>51</v>
      </c>
      <c r="J180" s="15" t="s">
        <v>51</v>
      </c>
      <c r="K180" s="15" t="s">
        <v>51</v>
      </c>
      <c r="L180" s="15"/>
      <c r="M180" s="1"/>
      <c r="N180" s="1"/>
      <c r="O180" s="1"/>
      <c r="P180" s="1"/>
      <c r="Q180" s="1"/>
      <c r="R180" s="1"/>
      <c r="S180" s="1"/>
      <c r="T180" s="1"/>
      <c r="U180" s="1"/>
      <c r="V180" s="1"/>
      <c r="W180" s="1"/>
      <c r="X180" s="1"/>
      <c r="Y180" s="1"/>
      <c r="Z180" s="1"/>
      <c r="AA180" s="1"/>
      <c r="AB180" s="1"/>
    </row>
    <row r="181" spans="1:28" ht="14.25" customHeight="1" x14ac:dyDescent="0.2">
      <c r="A181" s="72"/>
      <c r="B181" s="17">
        <v>180</v>
      </c>
      <c r="C181" s="6" t="s">
        <v>24</v>
      </c>
      <c r="D181" s="6" t="s">
        <v>508</v>
      </c>
      <c r="E181" s="15" t="s">
        <v>509</v>
      </c>
      <c r="F181" s="15" t="s">
        <v>510</v>
      </c>
      <c r="G181" s="16" t="s">
        <v>65</v>
      </c>
      <c r="H181" s="16" t="s">
        <v>36</v>
      </c>
      <c r="I181" s="16" t="s">
        <v>51</v>
      </c>
      <c r="J181" s="15" t="s">
        <v>51</v>
      </c>
      <c r="K181" s="15" t="s">
        <v>51</v>
      </c>
      <c r="L181" s="15"/>
      <c r="M181" s="1"/>
      <c r="N181" s="1"/>
      <c r="O181" s="1"/>
      <c r="P181" s="1"/>
      <c r="Q181" s="1"/>
      <c r="R181" s="1"/>
      <c r="S181" s="1"/>
      <c r="T181" s="1"/>
      <c r="U181" s="1"/>
      <c r="V181" s="1"/>
      <c r="W181" s="1"/>
      <c r="X181" s="1"/>
      <c r="Y181" s="1"/>
      <c r="Z181" s="1"/>
      <c r="AA181" s="1"/>
      <c r="AB181" s="1"/>
    </row>
    <row r="182" spans="1:28" ht="14.25" customHeight="1" x14ac:dyDescent="0.2">
      <c r="A182" s="72"/>
      <c r="B182" s="17">
        <v>181</v>
      </c>
      <c r="C182" s="6" t="s">
        <v>24</v>
      </c>
      <c r="D182" s="6" t="s">
        <v>511</v>
      </c>
      <c r="E182" s="15" t="s">
        <v>512</v>
      </c>
      <c r="F182" s="15" t="s">
        <v>511</v>
      </c>
      <c r="G182" s="16" t="s">
        <v>65</v>
      </c>
      <c r="H182" s="16" t="s">
        <v>36</v>
      </c>
      <c r="I182" s="16" t="s">
        <v>51</v>
      </c>
      <c r="J182" s="15" t="s">
        <v>51</v>
      </c>
      <c r="K182" s="15" t="s">
        <v>51</v>
      </c>
      <c r="L182" s="15" t="s">
        <v>513</v>
      </c>
      <c r="M182" s="1"/>
      <c r="N182" s="1"/>
      <c r="O182" s="1"/>
      <c r="P182" s="1"/>
      <c r="Q182" s="1"/>
      <c r="R182" s="1"/>
      <c r="S182" s="1"/>
      <c r="T182" s="1"/>
      <c r="U182" s="1"/>
      <c r="V182" s="1"/>
      <c r="W182" s="1"/>
      <c r="X182" s="1"/>
      <c r="Y182" s="1"/>
      <c r="Z182" s="1"/>
      <c r="AA182" s="1"/>
      <c r="AB182" s="1"/>
    </row>
    <row r="183" spans="1:28" ht="14.25" customHeight="1" x14ac:dyDescent="0.2">
      <c r="A183" s="72"/>
      <c r="B183" s="17">
        <v>182</v>
      </c>
      <c r="C183" s="6" t="s">
        <v>24</v>
      </c>
      <c r="D183" s="6" t="s">
        <v>514</v>
      </c>
      <c r="E183" s="15" t="s">
        <v>515</v>
      </c>
      <c r="F183" s="15" t="s">
        <v>514</v>
      </c>
      <c r="G183" s="16" t="s">
        <v>65</v>
      </c>
      <c r="H183" s="16" t="s">
        <v>36</v>
      </c>
      <c r="I183" s="16" t="s">
        <v>51</v>
      </c>
      <c r="J183" s="15" t="s">
        <v>51</v>
      </c>
      <c r="K183" s="15" t="s">
        <v>51</v>
      </c>
      <c r="L183" s="15"/>
      <c r="M183" s="1"/>
      <c r="N183" s="1"/>
      <c r="O183" s="1"/>
      <c r="P183" s="1"/>
      <c r="Q183" s="1"/>
      <c r="R183" s="1"/>
      <c r="S183" s="1"/>
      <c r="T183" s="1"/>
      <c r="U183" s="1"/>
      <c r="V183" s="1"/>
      <c r="W183" s="1"/>
      <c r="X183" s="1"/>
      <c r="Y183" s="1"/>
      <c r="Z183" s="1"/>
      <c r="AA183" s="1"/>
      <c r="AB183" s="1"/>
    </row>
    <row r="184" spans="1:28" ht="14.25" customHeight="1" x14ac:dyDescent="0.2">
      <c r="A184" s="72"/>
      <c r="B184" s="17">
        <v>183</v>
      </c>
      <c r="C184" s="6" t="s">
        <v>24</v>
      </c>
      <c r="D184" s="6" t="s">
        <v>516</v>
      </c>
      <c r="E184" s="15" t="s">
        <v>517</v>
      </c>
      <c r="F184" s="15" t="s">
        <v>518</v>
      </c>
      <c r="G184" s="16" t="s">
        <v>65</v>
      </c>
      <c r="H184" s="16" t="s">
        <v>51</v>
      </c>
      <c r="I184" s="16" t="s">
        <v>52</v>
      </c>
      <c r="J184" s="15" t="s">
        <v>51</v>
      </c>
      <c r="K184" s="15" t="s">
        <v>52</v>
      </c>
      <c r="L184" s="15"/>
      <c r="M184" s="1"/>
      <c r="N184" s="1"/>
      <c r="O184" s="1"/>
      <c r="P184" s="1"/>
      <c r="Q184" s="1"/>
      <c r="R184" s="1"/>
      <c r="S184" s="1"/>
      <c r="T184" s="1"/>
      <c r="U184" s="1"/>
      <c r="V184" s="1"/>
      <c r="W184" s="1"/>
      <c r="X184" s="1"/>
      <c r="Y184" s="1"/>
      <c r="Z184" s="1"/>
      <c r="AA184" s="1"/>
      <c r="AB184" s="1"/>
    </row>
    <row r="185" spans="1:28" ht="96" x14ac:dyDescent="0.2">
      <c r="A185" s="72"/>
      <c r="B185" s="17">
        <v>184</v>
      </c>
      <c r="C185" s="6" t="s">
        <v>24</v>
      </c>
      <c r="D185" s="18" t="s">
        <v>519</v>
      </c>
      <c r="E185" s="15" t="s">
        <v>520</v>
      </c>
      <c r="F185" s="15" t="s">
        <v>521</v>
      </c>
      <c r="G185" s="16" t="s">
        <v>65</v>
      </c>
      <c r="H185" s="16" t="s">
        <v>51</v>
      </c>
      <c r="I185" s="16" t="s">
        <v>52</v>
      </c>
      <c r="J185" s="15" t="s">
        <v>51</v>
      </c>
      <c r="K185" s="15" t="s">
        <v>52</v>
      </c>
      <c r="L185" s="15"/>
      <c r="M185" s="1"/>
      <c r="N185" s="1"/>
      <c r="O185" s="1"/>
      <c r="P185" s="1"/>
      <c r="Q185" s="1"/>
      <c r="R185" s="1"/>
      <c r="S185" s="1"/>
      <c r="T185" s="1"/>
      <c r="U185" s="1"/>
      <c r="V185" s="1"/>
      <c r="W185" s="1"/>
      <c r="X185" s="1"/>
      <c r="Y185" s="1"/>
      <c r="Z185" s="1"/>
      <c r="AA185" s="1"/>
      <c r="AB185" s="1"/>
    </row>
    <row r="186" spans="1:28" ht="64" x14ac:dyDescent="0.2">
      <c r="A186" s="72"/>
      <c r="B186" s="17">
        <v>185</v>
      </c>
      <c r="C186" s="6" t="s">
        <v>24</v>
      </c>
      <c r="D186" s="18" t="s">
        <v>522</v>
      </c>
      <c r="E186" s="15" t="s">
        <v>523</v>
      </c>
      <c r="F186" s="15" t="s">
        <v>524</v>
      </c>
      <c r="G186" s="16" t="s">
        <v>65</v>
      </c>
      <c r="H186" s="16" t="s">
        <v>51</v>
      </c>
      <c r="I186" s="16" t="s">
        <v>52</v>
      </c>
      <c r="J186" s="15" t="s">
        <v>51</v>
      </c>
      <c r="K186" s="15" t="s">
        <v>52</v>
      </c>
      <c r="L186" s="15"/>
      <c r="M186" s="1"/>
      <c r="N186" s="1"/>
      <c r="O186" s="1"/>
      <c r="P186" s="1"/>
      <c r="Q186" s="1"/>
      <c r="R186" s="1"/>
      <c r="S186" s="1"/>
      <c r="T186" s="1"/>
      <c r="U186" s="1"/>
      <c r="V186" s="1"/>
      <c r="W186" s="1"/>
      <c r="X186" s="1"/>
      <c r="Y186" s="1"/>
      <c r="Z186" s="1"/>
      <c r="AA186" s="1"/>
      <c r="AB186" s="1"/>
    </row>
    <row r="187" spans="1:28" ht="14.25" customHeight="1" x14ac:dyDescent="0.2">
      <c r="A187" s="72"/>
      <c r="B187" s="17">
        <v>186</v>
      </c>
      <c r="C187" s="6" t="s">
        <v>24</v>
      </c>
      <c r="D187" s="6" t="s">
        <v>525</v>
      </c>
      <c r="E187" s="15" t="s">
        <v>526</v>
      </c>
      <c r="F187" s="15" t="s">
        <v>525</v>
      </c>
      <c r="G187" s="16" t="s">
        <v>65</v>
      </c>
      <c r="H187" s="16" t="s">
        <v>51</v>
      </c>
      <c r="I187" s="16" t="s">
        <v>52</v>
      </c>
      <c r="J187" s="15" t="s">
        <v>51</v>
      </c>
      <c r="K187" s="15" t="s">
        <v>52</v>
      </c>
      <c r="L187" s="15"/>
      <c r="M187" s="1"/>
      <c r="N187" s="1"/>
      <c r="O187" s="1"/>
      <c r="P187" s="1"/>
      <c r="Q187" s="1"/>
      <c r="R187" s="1"/>
      <c r="S187" s="1"/>
      <c r="T187" s="1"/>
      <c r="U187" s="1"/>
      <c r="V187" s="1"/>
      <c r="W187" s="1"/>
      <c r="X187" s="1"/>
      <c r="Y187" s="1"/>
      <c r="Z187" s="1"/>
      <c r="AA187" s="1"/>
      <c r="AB187" s="1"/>
    </row>
    <row r="188" spans="1:28" ht="14.25" customHeight="1" x14ac:dyDescent="0.2">
      <c r="A188" s="72"/>
      <c r="B188" s="17">
        <v>187</v>
      </c>
      <c r="C188" s="6" t="s">
        <v>24</v>
      </c>
      <c r="D188" s="18" t="s">
        <v>527</v>
      </c>
      <c r="E188" s="15" t="s">
        <v>528</v>
      </c>
      <c r="F188" s="15" t="s">
        <v>529</v>
      </c>
      <c r="G188" s="16" t="s">
        <v>65</v>
      </c>
      <c r="H188" s="16" t="s">
        <v>51</v>
      </c>
      <c r="I188" s="16" t="s">
        <v>52</v>
      </c>
      <c r="J188" s="15" t="s">
        <v>51</v>
      </c>
      <c r="K188" s="15" t="s">
        <v>52</v>
      </c>
      <c r="L188" s="15"/>
      <c r="M188" s="1"/>
      <c r="N188" s="1"/>
      <c r="O188" s="1"/>
      <c r="P188" s="1"/>
      <c r="Q188" s="1"/>
      <c r="R188" s="1"/>
      <c r="S188" s="1"/>
      <c r="T188" s="1"/>
      <c r="U188" s="1"/>
      <c r="V188" s="1"/>
      <c r="W188" s="1"/>
      <c r="X188" s="1"/>
      <c r="Y188" s="1"/>
      <c r="Z188" s="1"/>
      <c r="AA188" s="1"/>
      <c r="AB188" s="1"/>
    </row>
    <row r="189" spans="1:28" ht="14.25" customHeight="1" x14ac:dyDescent="0.2">
      <c r="A189" s="72"/>
      <c r="B189" s="17">
        <v>188</v>
      </c>
      <c r="C189" s="6" t="s">
        <v>24</v>
      </c>
      <c r="D189" s="18" t="s">
        <v>530</v>
      </c>
      <c r="E189" s="15" t="s">
        <v>531</v>
      </c>
      <c r="F189" s="15" t="s">
        <v>532</v>
      </c>
      <c r="G189" s="16" t="s">
        <v>65</v>
      </c>
      <c r="H189" s="16" t="s">
        <v>51</v>
      </c>
      <c r="I189" s="16" t="s">
        <v>52</v>
      </c>
      <c r="J189" s="15" t="s">
        <v>51</v>
      </c>
      <c r="K189" s="15" t="s">
        <v>52</v>
      </c>
      <c r="L189" s="15"/>
      <c r="M189" s="1"/>
      <c r="N189" s="1"/>
      <c r="O189" s="1"/>
      <c r="P189" s="1"/>
      <c r="Q189" s="1"/>
      <c r="R189" s="1"/>
      <c r="S189" s="1"/>
      <c r="T189" s="1"/>
      <c r="U189" s="1"/>
      <c r="V189" s="1"/>
      <c r="W189" s="1"/>
      <c r="X189" s="1"/>
      <c r="Y189" s="1"/>
      <c r="Z189" s="1"/>
      <c r="AA189" s="1"/>
      <c r="AB189" s="1"/>
    </row>
    <row r="190" spans="1:28" ht="14.25" customHeight="1" x14ac:dyDescent="0.2">
      <c r="A190" s="72"/>
      <c r="B190" s="17">
        <v>189</v>
      </c>
      <c r="C190" s="6" t="s">
        <v>24</v>
      </c>
      <c r="D190" s="6" t="s">
        <v>533</v>
      </c>
      <c r="E190" s="15" t="s">
        <v>534</v>
      </c>
      <c r="F190" s="15" t="s">
        <v>533</v>
      </c>
      <c r="G190" s="16" t="s">
        <v>65</v>
      </c>
      <c r="H190" s="16" t="s">
        <v>36</v>
      </c>
      <c r="I190" s="16" t="s">
        <v>51</v>
      </c>
      <c r="J190" s="15" t="s">
        <v>51</v>
      </c>
      <c r="K190" s="15" t="s">
        <v>51</v>
      </c>
      <c r="L190" s="15"/>
      <c r="M190" s="1"/>
      <c r="N190" s="1"/>
      <c r="O190" s="1"/>
      <c r="P190" s="1"/>
      <c r="Q190" s="1"/>
      <c r="R190" s="1"/>
      <c r="S190" s="1"/>
      <c r="T190" s="1"/>
      <c r="U190" s="1"/>
      <c r="V190" s="1"/>
      <c r="W190" s="1"/>
      <c r="X190" s="1"/>
      <c r="Y190" s="1"/>
      <c r="Z190" s="1"/>
      <c r="AA190" s="1"/>
      <c r="AB190" s="1"/>
    </row>
    <row r="191" spans="1:28" ht="32" x14ac:dyDescent="0.2">
      <c r="A191" s="72"/>
      <c r="B191" s="17">
        <v>190</v>
      </c>
      <c r="C191" s="6" t="s">
        <v>24</v>
      </c>
      <c r="D191" s="18" t="s">
        <v>535</v>
      </c>
      <c r="E191" s="15" t="s">
        <v>536</v>
      </c>
      <c r="F191" s="15" t="s">
        <v>537</v>
      </c>
      <c r="G191" s="16" t="s">
        <v>65</v>
      </c>
      <c r="H191" s="16" t="s">
        <v>36</v>
      </c>
      <c r="I191" s="16" t="s">
        <v>51</v>
      </c>
      <c r="J191" s="15" t="s">
        <v>51</v>
      </c>
      <c r="K191" s="15" t="s">
        <v>51</v>
      </c>
      <c r="L191" s="15"/>
      <c r="M191" s="1"/>
      <c r="N191" s="1"/>
      <c r="O191" s="1"/>
      <c r="P191" s="1"/>
      <c r="Q191" s="1"/>
      <c r="R191" s="1"/>
      <c r="S191" s="1"/>
      <c r="T191" s="1"/>
      <c r="U191" s="1"/>
      <c r="V191" s="1"/>
      <c r="W191" s="1"/>
      <c r="X191" s="1"/>
      <c r="Y191" s="1"/>
      <c r="Z191" s="1"/>
      <c r="AA191" s="1"/>
      <c r="AB191" s="1"/>
    </row>
    <row r="192" spans="1:28" ht="14.25" customHeight="1" x14ac:dyDescent="0.2">
      <c r="A192" s="72"/>
      <c r="B192" s="17">
        <v>191</v>
      </c>
      <c r="C192" s="6" t="s">
        <v>24</v>
      </c>
      <c r="D192" s="6" t="s">
        <v>538</v>
      </c>
      <c r="E192" s="15" t="s">
        <v>539</v>
      </c>
      <c r="F192" s="15" t="s">
        <v>540</v>
      </c>
      <c r="G192" s="16" t="s">
        <v>65</v>
      </c>
      <c r="H192" s="16" t="s">
        <v>36</v>
      </c>
      <c r="I192" s="16" t="s">
        <v>51</v>
      </c>
      <c r="J192" s="15" t="s">
        <v>51</v>
      </c>
      <c r="K192" s="15" t="s">
        <v>51</v>
      </c>
      <c r="L192" s="15"/>
      <c r="M192" s="1"/>
      <c r="N192" s="1"/>
      <c r="O192" s="1"/>
      <c r="P192" s="1"/>
      <c r="Q192" s="1"/>
      <c r="R192" s="1"/>
      <c r="S192" s="1"/>
      <c r="T192" s="1"/>
      <c r="U192" s="1"/>
      <c r="V192" s="1"/>
      <c r="W192" s="1"/>
      <c r="X192" s="1"/>
      <c r="Y192" s="1"/>
      <c r="Z192" s="1"/>
      <c r="AA192" s="1"/>
      <c r="AB192" s="1"/>
    </row>
    <row r="193" spans="1:28" ht="14.25" customHeight="1" x14ac:dyDescent="0.2">
      <c r="A193" s="72"/>
      <c r="B193" s="17">
        <v>192</v>
      </c>
      <c r="C193" s="6" t="s">
        <v>24</v>
      </c>
      <c r="D193" s="6" t="s">
        <v>541</v>
      </c>
      <c r="E193" s="15" t="s">
        <v>542</v>
      </c>
      <c r="F193" s="15" t="s">
        <v>541</v>
      </c>
      <c r="G193" s="16" t="s">
        <v>65</v>
      </c>
      <c r="H193" s="16" t="s">
        <v>36</v>
      </c>
      <c r="I193" s="16" t="s">
        <v>51</v>
      </c>
      <c r="J193" s="15" t="s">
        <v>51</v>
      </c>
      <c r="K193" s="15" t="s">
        <v>51</v>
      </c>
      <c r="L193" s="15"/>
      <c r="M193" s="1"/>
      <c r="N193" s="1"/>
      <c r="O193" s="1"/>
      <c r="P193" s="1"/>
      <c r="Q193" s="1"/>
      <c r="R193" s="1"/>
      <c r="S193" s="1"/>
      <c r="T193" s="1"/>
      <c r="U193" s="1"/>
      <c r="V193" s="1"/>
      <c r="W193" s="1"/>
      <c r="X193" s="1"/>
      <c r="Y193" s="1"/>
      <c r="Z193" s="1"/>
      <c r="AA193" s="1"/>
      <c r="AB193" s="1"/>
    </row>
    <row r="194" spans="1:28" ht="14.25" customHeight="1" x14ac:dyDescent="0.2">
      <c r="A194" s="72"/>
      <c r="B194" s="17">
        <v>193</v>
      </c>
      <c r="C194" s="6" t="s">
        <v>24</v>
      </c>
      <c r="D194" s="6" t="s">
        <v>543</v>
      </c>
      <c r="E194" s="15" t="s">
        <v>544</v>
      </c>
      <c r="F194" s="15" t="s">
        <v>543</v>
      </c>
      <c r="G194" s="16" t="s">
        <v>65</v>
      </c>
      <c r="H194" s="16" t="s">
        <v>36</v>
      </c>
      <c r="I194" s="16" t="s">
        <v>51</v>
      </c>
      <c r="J194" s="15" t="s">
        <v>51</v>
      </c>
      <c r="K194" s="15" t="s">
        <v>51</v>
      </c>
      <c r="L194" s="15" t="s">
        <v>358</v>
      </c>
      <c r="M194" s="1"/>
      <c r="N194" s="1"/>
      <c r="O194" s="1"/>
      <c r="P194" s="1"/>
      <c r="Q194" s="1"/>
      <c r="R194" s="1"/>
      <c r="S194" s="1"/>
      <c r="T194" s="1"/>
      <c r="U194" s="1"/>
      <c r="V194" s="1"/>
      <c r="W194" s="1"/>
      <c r="X194" s="1"/>
      <c r="Y194" s="1"/>
      <c r="Z194" s="1"/>
      <c r="AA194" s="1"/>
      <c r="AB194" s="1"/>
    </row>
    <row r="195" spans="1:28" ht="14.25" customHeight="1" x14ac:dyDescent="0.2">
      <c r="A195" s="72"/>
      <c r="B195" s="17">
        <v>194</v>
      </c>
      <c r="C195" s="6" t="s">
        <v>24</v>
      </c>
      <c r="D195" s="18" t="s">
        <v>545</v>
      </c>
      <c r="E195" s="15" t="s">
        <v>546</v>
      </c>
      <c r="F195" s="15" t="s">
        <v>547</v>
      </c>
      <c r="G195" s="16" t="s">
        <v>65</v>
      </c>
      <c r="H195" s="16" t="s">
        <v>51</v>
      </c>
      <c r="I195" s="16" t="s">
        <v>52</v>
      </c>
      <c r="J195" s="15" t="s">
        <v>51</v>
      </c>
      <c r="K195" s="15" t="s">
        <v>52</v>
      </c>
      <c r="L195" s="15"/>
      <c r="M195" s="1"/>
      <c r="N195" s="1"/>
      <c r="O195" s="1"/>
      <c r="P195" s="1"/>
      <c r="Q195" s="1"/>
      <c r="R195" s="1"/>
      <c r="S195" s="1"/>
      <c r="T195" s="1"/>
      <c r="U195" s="1"/>
      <c r="V195" s="1"/>
      <c r="W195" s="1"/>
      <c r="X195" s="1"/>
      <c r="Y195" s="1"/>
      <c r="Z195" s="1"/>
      <c r="AA195" s="1"/>
      <c r="AB195" s="1"/>
    </row>
    <row r="196" spans="1:28" ht="14.25" customHeight="1" x14ac:dyDescent="0.2">
      <c r="A196" s="72"/>
      <c r="B196" s="17">
        <v>195</v>
      </c>
      <c r="C196" s="6" t="s">
        <v>24</v>
      </c>
      <c r="D196" s="6" t="s">
        <v>548</v>
      </c>
      <c r="E196" s="15" t="s">
        <v>549</v>
      </c>
      <c r="F196" s="15" t="s">
        <v>548</v>
      </c>
      <c r="G196" s="16" t="s">
        <v>65</v>
      </c>
      <c r="H196" s="16" t="s">
        <v>36</v>
      </c>
      <c r="I196" s="16" t="s">
        <v>51</v>
      </c>
      <c r="J196" s="15" t="s">
        <v>51</v>
      </c>
      <c r="K196" s="15" t="s">
        <v>51</v>
      </c>
      <c r="L196" s="15"/>
      <c r="M196" s="1"/>
      <c r="N196" s="1"/>
      <c r="O196" s="1"/>
      <c r="P196" s="1"/>
      <c r="Q196" s="1"/>
      <c r="R196" s="1"/>
      <c r="S196" s="1"/>
      <c r="T196" s="1"/>
      <c r="U196" s="1"/>
      <c r="V196" s="1"/>
      <c r="W196" s="1"/>
      <c r="X196" s="1"/>
      <c r="Y196" s="1"/>
      <c r="Z196" s="1"/>
      <c r="AA196" s="1"/>
      <c r="AB196" s="1"/>
    </row>
    <row r="197" spans="1:28" ht="32" x14ac:dyDescent="0.2">
      <c r="A197" s="72"/>
      <c r="B197" s="17">
        <v>196</v>
      </c>
      <c r="C197" s="6" t="s">
        <v>24</v>
      </c>
      <c r="D197" s="18" t="s">
        <v>550</v>
      </c>
      <c r="E197" s="15" t="s">
        <v>551</v>
      </c>
      <c r="F197" s="15" t="s">
        <v>552</v>
      </c>
      <c r="G197" s="16" t="s">
        <v>65</v>
      </c>
      <c r="H197" s="16" t="s">
        <v>36</v>
      </c>
      <c r="I197" s="16" t="s">
        <v>51</v>
      </c>
      <c r="J197" s="15" t="s">
        <v>51</v>
      </c>
      <c r="K197" s="15" t="s">
        <v>51</v>
      </c>
      <c r="L197" s="15"/>
      <c r="M197" s="1"/>
      <c r="N197" s="1"/>
      <c r="O197" s="1"/>
      <c r="P197" s="1"/>
      <c r="Q197" s="1"/>
      <c r="R197" s="1"/>
      <c r="S197" s="1"/>
      <c r="T197" s="1"/>
      <c r="U197" s="1"/>
      <c r="V197" s="1"/>
      <c r="W197" s="1"/>
      <c r="X197" s="1"/>
      <c r="Y197" s="1"/>
      <c r="Z197" s="1"/>
      <c r="AA197" s="1"/>
      <c r="AB197" s="1"/>
    </row>
    <row r="198" spans="1:28" ht="16" x14ac:dyDescent="0.2">
      <c r="A198" s="72"/>
      <c r="B198" s="17">
        <v>197</v>
      </c>
      <c r="C198" s="6" t="s">
        <v>24</v>
      </c>
      <c r="D198" s="18" t="s">
        <v>553</v>
      </c>
      <c r="E198" s="15" t="s">
        <v>554</v>
      </c>
      <c r="F198" s="15" t="s">
        <v>555</v>
      </c>
      <c r="G198" s="16" t="s">
        <v>65</v>
      </c>
      <c r="H198" s="16" t="s">
        <v>36</v>
      </c>
      <c r="I198" s="16" t="s">
        <v>51</v>
      </c>
      <c r="J198" s="15" t="s">
        <v>51</v>
      </c>
      <c r="K198" s="15" t="s">
        <v>51</v>
      </c>
      <c r="L198" s="15"/>
      <c r="M198" s="1"/>
      <c r="N198" s="1"/>
      <c r="O198" s="1"/>
      <c r="P198" s="1"/>
      <c r="Q198" s="1"/>
      <c r="R198" s="1"/>
      <c r="S198" s="1"/>
      <c r="T198" s="1"/>
      <c r="U198" s="1"/>
      <c r="V198" s="1"/>
      <c r="W198" s="1"/>
      <c r="X198" s="1"/>
      <c r="Y198" s="1"/>
      <c r="Z198" s="1"/>
      <c r="AA198" s="1"/>
      <c r="AB198" s="1"/>
    </row>
    <row r="199" spans="1:28" ht="32" x14ac:dyDescent="0.2">
      <c r="A199" s="72"/>
      <c r="B199" s="17">
        <v>198</v>
      </c>
      <c r="C199" s="6" t="s">
        <v>24</v>
      </c>
      <c r="D199" s="18" t="s">
        <v>556</v>
      </c>
      <c r="E199" s="15" t="s">
        <v>557</v>
      </c>
      <c r="F199" s="15" t="s">
        <v>558</v>
      </c>
      <c r="G199" s="16" t="s">
        <v>65</v>
      </c>
      <c r="H199" s="16" t="s">
        <v>36</v>
      </c>
      <c r="I199" s="16" t="s">
        <v>51</v>
      </c>
      <c r="J199" s="15" t="s">
        <v>51</v>
      </c>
      <c r="K199" s="15" t="s">
        <v>51</v>
      </c>
      <c r="L199" s="15"/>
      <c r="M199" s="1"/>
      <c r="N199" s="1"/>
      <c r="O199" s="1"/>
      <c r="P199" s="1"/>
      <c r="Q199" s="1"/>
      <c r="R199" s="1"/>
      <c r="S199" s="1"/>
      <c r="T199" s="1"/>
      <c r="U199" s="1"/>
      <c r="V199" s="1"/>
      <c r="W199" s="1"/>
      <c r="X199" s="1"/>
      <c r="Y199" s="1"/>
      <c r="Z199" s="1"/>
      <c r="AA199" s="1"/>
      <c r="AB199" s="1"/>
    </row>
    <row r="200" spans="1:28" ht="14.25" customHeight="1" x14ac:dyDescent="0.2">
      <c r="A200" s="72"/>
      <c r="B200" s="17">
        <v>199</v>
      </c>
      <c r="C200" s="6" t="s">
        <v>24</v>
      </c>
      <c r="D200" s="6" t="s">
        <v>559</v>
      </c>
      <c r="E200" s="15" t="s">
        <v>560</v>
      </c>
      <c r="F200" s="15" t="s">
        <v>561</v>
      </c>
      <c r="G200" s="16" t="s">
        <v>65</v>
      </c>
      <c r="H200" s="16" t="s">
        <v>36</v>
      </c>
      <c r="I200" s="16" t="s">
        <v>51</v>
      </c>
      <c r="J200" s="15" t="s">
        <v>51</v>
      </c>
      <c r="K200" s="15" t="s">
        <v>51</v>
      </c>
      <c r="L200" s="15" t="s">
        <v>562</v>
      </c>
      <c r="M200" s="1"/>
      <c r="N200" s="1"/>
      <c r="O200" s="1"/>
      <c r="P200" s="1"/>
      <c r="Q200" s="1"/>
      <c r="R200" s="1"/>
      <c r="S200" s="1"/>
      <c r="T200" s="1"/>
      <c r="U200" s="1"/>
      <c r="V200" s="1"/>
      <c r="W200" s="1"/>
      <c r="X200" s="1"/>
      <c r="Y200" s="1"/>
      <c r="Z200" s="1"/>
      <c r="AA200" s="1"/>
      <c r="AB200" s="1"/>
    </row>
    <row r="201" spans="1:28" ht="14.25" customHeight="1" x14ac:dyDescent="0.2">
      <c r="A201" s="72"/>
      <c r="B201" s="17">
        <v>200</v>
      </c>
      <c r="C201" s="6" t="s">
        <v>24</v>
      </c>
      <c r="D201" s="6" t="s">
        <v>563</v>
      </c>
      <c r="E201" s="15" t="s">
        <v>564</v>
      </c>
      <c r="F201" s="15" t="s">
        <v>565</v>
      </c>
      <c r="G201" s="16" t="s">
        <v>65</v>
      </c>
      <c r="H201" s="16" t="s">
        <v>51</v>
      </c>
      <c r="I201" s="16" t="s">
        <v>52</v>
      </c>
      <c r="J201" s="15" t="s">
        <v>51</v>
      </c>
      <c r="K201" s="15" t="s">
        <v>52</v>
      </c>
      <c r="L201" s="15"/>
      <c r="M201" s="1"/>
      <c r="N201" s="1"/>
      <c r="O201" s="1"/>
      <c r="P201" s="1"/>
      <c r="Q201" s="1"/>
      <c r="R201" s="1"/>
      <c r="S201" s="1"/>
      <c r="T201" s="1"/>
      <c r="U201" s="1"/>
      <c r="V201" s="1"/>
      <c r="W201" s="1"/>
      <c r="X201" s="1"/>
      <c r="Y201" s="1"/>
      <c r="Z201" s="1"/>
      <c r="AA201" s="1"/>
      <c r="AB201" s="1"/>
    </row>
    <row r="202" spans="1:28" ht="96" x14ac:dyDescent="0.2">
      <c r="A202" s="72"/>
      <c r="B202" s="17">
        <v>201</v>
      </c>
      <c r="C202" s="6" t="s">
        <v>24</v>
      </c>
      <c r="D202" s="18" t="s">
        <v>566</v>
      </c>
      <c r="E202" s="15" t="s">
        <v>567</v>
      </c>
      <c r="F202" s="15" t="s">
        <v>568</v>
      </c>
      <c r="G202" s="16" t="s">
        <v>65</v>
      </c>
      <c r="H202" s="16" t="s">
        <v>51</v>
      </c>
      <c r="I202" s="16" t="s">
        <v>52</v>
      </c>
      <c r="J202" s="15" t="s">
        <v>51</v>
      </c>
      <c r="K202" s="15" t="s">
        <v>52</v>
      </c>
      <c r="L202" s="15"/>
      <c r="M202" s="1"/>
      <c r="N202" s="1"/>
      <c r="O202" s="1"/>
      <c r="P202" s="1"/>
      <c r="Q202" s="1"/>
      <c r="R202" s="1"/>
      <c r="S202" s="1"/>
      <c r="T202" s="1"/>
      <c r="U202" s="1"/>
      <c r="V202" s="1"/>
      <c r="W202" s="1"/>
      <c r="X202" s="1"/>
      <c r="Y202" s="1"/>
      <c r="Z202" s="1"/>
      <c r="AA202" s="1"/>
      <c r="AB202" s="1"/>
    </row>
    <row r="203" spans="1:28" ht="96" x14ac:dyDescent="0.2">
      <c r="A203" s="72"/>
      <c r="B203" s="17">
        <v>202</v>
      </c>
      <c r="C203" s="6" t="s">
        <v>24</v>
      </c>
      <c r="D203" s="18" t="s">
        <v>569</v>
      </c>
      <c r="E203" s="15" t="s">
        <v>570</v>
      </c>
      <c r="F203" s="15" t="s">
        <v>571</v>
      </c>
      <c r="G203" s="16" t="s">
        <v>65</v>
      </c>
      <c r="H203" s="16" t="s">
        <v>51</v>
      </c>
      <c r="I203" s="16" t="s">
        <v>52</v>
      </c>
      <c r="J203" s="15" t="s">
        <v>51</v>
      </c>
      <c r="K203" s="15" t="s">
        <v>52</v>
      </c>
      <c r="L203" s="15"/>
      <c r="M203" s="1"/>
      <c r="N203" s="1"/>
      <c r="O203" s="1"/>
      <c r="P203" s="1"/>
      <c r="Q203" s="1"/>
      <c r="R203" s="1"/>
      <c r="S203" s="1"/>
      <c r="T203" s="1"/>
      <c r="U203" s="1"/>
      <c r="V203" s="1"/>
      <c r="W203" s="1"/>
      <c r="X203" s="1"/>
      <c r="Y203" s="1"/>
      <c r="Z203" s="1"/>
      <c r="AA203" s="1"/>
      <c r="AB203" s="1"/>
    </row>
    <row r="204" spans="1:28" ht="14.25" customHeight="1" x14ac:dyDescent="0.2">
      <c r="A204" s="72"/>
      <c r="B204" s="17">
        <v>203</v>
      </c>
      <c r="C204" s="6" t="s">
        <v>24</v>
      </c>
      <c r="D204" s="6" t="s">
        <v>572</v>
      </c>
      <c r="E204" s="15" t="s">
        <v>573</v>
      </c>
      <c r="F204" s="15" t="s">
        <v>574</v>
      </c>
      <c r="G204" s="16" t="s">
        <v>65</v>
      </c>
      <c r="H204" s="16" t="s">
        <v>36</v>
      </c>
      <c r="I204" s="16" t="s">
        <v>51</v>
      </c>
      <c r="J204" s="15" t="s">
        <v>51</v>
      </c>
      <c r="K204" s="15" t="s">
        <v>51</v>
      </c>
      <c r="L204" s="15"/>
      <c r="M204" s="1"/>
      <c r="N204" s="1"/>
      <c r="O204" s="1"/>
      <c r="P204" s="1"/>
      <c r="Q204" s="1"/>
      <c r="R204" s="1"/>
      <c r="S204" s="1"/>
      <c r="T204" s="1"/>
      <c r="U204" s="1"/>
      <c r="V204" s="1"/>
      <c r="W204" s="1"/>
      <c r="X204" s="1"/>
      <c r="Y204" s="1"/>
      <c r="Z204" s="1"/>
      <c r="AA204" s="1"/>
      <c r="AB204" s="1"/>
    </row>
    <row r="205" spans="1:28" ht="14.25" customHeight="1" x14ac:dyDescent="0.2">
      <c r="A205" s="72"/>
      <c r="B205" s="17">
        <v>204</v>
      </c>
      <c r="C205" s="6" t="s">
        <v>24</v>
      </c>
      <c r="D205" s="6" t="s">
        <v>575</v>
      </c>
      <c r="E205" s="15" t="s">
        <v>576</v>
      </c>
      <c r="F205" s="15" t="s">
        <v>575</v>
      </c>
      <c r="G205" s="16" t="s">
        <v>65</v>
      </c>
      <c r="H205" s="16" t="s">
        <v>36</v>
      </c>
      <c r="I205" s="16" t="s">
        <v>51</v>
      </c>
      <c r="J205" s="15" t="s">
        <v>51</v>
      </c>
      <c r="K205" s="15" t="s">
        <v>51</v>
      </c>
      <c r="L205" s="15"/>
      <c r="M205" s="1"/>
      <c r="N205" s="1"/>
      <c r="O205" s="1"/>
      <c r="P205" s="1"/>
      <c r="Q205" s="1"/>
      <c r="R205" s="1"/>
      <c r="S205" s="1"/>
      <c r="T205" s="1"/>
      <c r="U205" s="1"/>
      <c r="V205" s="1"/>
      <c r="W205" s="1"/>
      <c r="X205" s="1"/>
      <c r="Y205" s="1"/>
      <c r="Z205" s="1"/>
      <c r="AA205" s="1"/>
      <c r="AB205" s="1"/>
    </row>
    <row r="206" spans="1:28" ht="14.25" customHeight="1" x14ac:dyDescent="0.2">
      <c r="A206" s="72"/>
      <c r="B206" s="17">
        <v>205</v>
      </c>
      <c r="C206" s="6" t="s">
        <v>24</v>
      </c>
      <c r="D206" s="6" t="s">
        <v>577</v>
      </c>
      <c r="E206" s="15" t="s">
        <v>578</v>
      </c>
      <c r="F206" s="15" t="s">
        <v>579</v>
      </c>
      <c r="G206" s="16" t="s">
        <v>65</v>
      </c>
      <c r="H206" s="16" t="s">
        <v>36</v>
      </c>
      <c r="I206" s="16" t="s">
        <v>51</v>
      </c>
      <c r="J206" s="15" t="s">
        <v>51</v>
      </c>
      <c r="K206" s="15" t="s">
        <v>51</v>
      </c>
      <c r="L206" s="15"/>
      <c r="M206" s="1"/>
      <c r="N206" s="1"/>
      <c r="O206" s="1"/>
      <c r="P206" s="1"/>
      <c r="Q206" s="1"/>
      <c r="R206" s="1"/>
      <c r="S206" s="1"/>
      <c r="T206" s="1"/>
      <c r="U206" s="1"/>
      <c r="V206" s="1"/>
      <c r="W206" s="1"/>
      <c r="X206" s="1"/>
      <c r="Y206" s="1"/>
      <c r="Z206" s="1"/>
      <c r="AA206" s="1"/>
      <c r="AB206" s="1"/>
    </row>
    <row r="207" spans="1:28" ht="14.25" customHeight="1" x14ac:dyDescent="0.2">
      <c r="A207" s="72"/>
      <c r="B207" s="17">
        <v>206</v>
      </c>
      <c r="C207" s="6" t="s">
        <v>24</v>
      </c>
      <c r="D207" s="6" t="s">
        <v>580</v>
      </c>
      <c r="E207" s="15" t="s">
        <v>581</v>
      </c>
      <c r="F207" s="15" t="s">
        <v>580</v>
      </c>
      <c r="G207" s="16" t="s">
        <v>65</v>
      </c>
      <c r="H207" s="16" t="s">
        <v>36</v>
      </c>
      <c r="I207" s="16" t="s">
        <v>51</v>
      </c>
      <c r="J207" s="15" t="s">
        <v>51</v>
      </c>
      <c r="K207" s="15" t="s">
        <v>51</v>
      </c>
      <c r="L207" s="15"/>
      <c r="M207" s="1"/>
      <c r="N207" s="1"/>
      <c r="O207" s="1"/>
      <c r="P207" s="1"/>
      <c r="Q207" s="1"/>
      <c r="R207" s="1"/>
      <c r="S207" s="1"/>
      <c r="T207" s="1"/>
      <c r="U207" s="1"/>
      <c r="V207" s="1"/>
      <c r="W207" s="1"/>
      <c r="X207" s="1"/>
      <c r="Y207" s="1"/>
      <c r="Z207" s="1"/>
      <c r="AA207" s="1"/>
      <c r="AB207" s="1"/>
    </row>
    <row r="208" spans="1:28" ht="14.25" customHeight="1" x14ac:dyDescent="0.2">
      <c r="A208" s="72"/>
      <c r="B208" s="17">
        <v>207</v>
      </c>
      <c r="C208" s="6" t="s">
        <v>24</v>
      </c>
      <c r="D208" s="6" t="s">
        <v>582</v>
      </c>
      <c r="E208" s="15" t="s">
        <v>583</v>
      </c>
      <c r="F208" s="15" t="s">
        <v>584</v>
      </c>
      <c r="G208" s="16" t="s">
        <v>65</v>
      </c>
      <c r="H208" s="16" t="s">
        <v>51</v>
      </c>
      <c r="I208" s="16" t="s">
        <v>52</v>
      </c>
      <c r="J208" s="15" t="s">
        <v>51</v>
      </c>
      <c r="K208" s="15" t="s">
        <v>52</v>
      </c>
      <c r="L208" s="15"/>
      <c r="M208" s="1"/>
      <c r="N208" s="1"/>
      <c r="O208" s="1"/>
      <c r="P208" s="1"/>
      <c r="Q208" s="1"/>
      <c r="R208" s="1"/>
      <c r="S208" s="1"/>
      <c r="T208" s="1"/>
      <c r="U208" s="1"/>
      <c r="V208" s="1"/>
      <c r="W208" s="1"/>
      <c r="X208" s="1"/>
      <c r="Y208" s="1"/>
      <c r="Z208" s="1"/>
      <c r="AA208" s="1"/>
      <c r="AB208" s="1"/>
    </row>
    <row r="209" spans="1:28" ht="14.25" customHeight="1" x14ac:dyDescent="0.2">
      <c r="A209" s="72"/>
      <c r="B209" s="17">
        <v>208</v>
      </c>
      <c r="C209" s="6" t="s">
        <v>24</v>
      </c>
      <c r="D209" s="6" t="s">
        <v>585</v>
      </c>
      <c r="E209" s="15" t="s">
        <v>586</v>
      </c>
      <c r="F209" s="15" t="s">
        <v>585</v>
      </c>
      <c r="G209" s="16" t="s">
        <v>65</v>
      </c>
      <c r="H209" s="16" t="s">
        <v>36</v>
      </c>
      <c r="I209" s="16" t="s">
        <v>51</v>
      </c>
      <c r="J209" s="15" t="s">
        <v>51</v>
      </c>
      <c r="K209" s="15" t="s">
        <v>51</v>
      </c>
      <c r="L209" s="15"/>
      <c r="M209" s="1"/>
      <c r="N209" s="1"/>
      <c r="O209" s="1"/>
      <c r="P209" s="1"/>
      <c r="Q209" s="1"/>
      <c r="R209" s="1"/>
      <c r="S209" s="1"/>
      <c r="T209" s="1"/>
      <c r="U209" s="1"/>
      <c r="V209" s="1"/>
      <c r="W209" s="1"/>
      <c r="X209" s="1"/>
      <c r="Y209" s="1"/>
      <c r="Z209" s="1"/>
      <c r="AA209" s="1"/>
      <c r="AB209" s="1"/>
    </row>
    <row r="210" spans="1:28" ht="14.25" customHeight="1" x14ac:dyDescent="0.2">
      <c r="A210" s="72"/>
      <c r="B210" s="17">
        <v>209</v>
      </c>
      <c r="C210" s="6" t="s">
        <v>24</v>
      </c>
      <c r="D210" s="6" t="s">
        <v>587</v>
      </c>
      <c r="E210" s="15" t="s">
        <v>588</v>
      </c>
      <c r="F210" s="15" t="s">
        <v>587</v>
      </c>
      <c r="G210" s="16" t="s">
        <v>589</v>
      </c>
      <c r="H210" s="16" t="s">
        <v>36</v>
      </c>
      <c r="I210" s="16" t="s">
        <v>51</v>
      </c>
      <c r="J210" s="15" t="s">
        <v>36</v>
      </c>
      <c r="K210" s="15" t="s">
        <v>51</v>
      </c>
      <c r="L210" s="15"/>
      <c r="M210" s="1"/>
      <c r="N210" s="1"/>
      <c r="O210" s="1"/>
      <c r="P210" s="1"/>
      <c r="Q210" s="1"/>
      <c r="R210" s="1"/>
      <c r="S210" s="1"/>
      <c r="T210" s="1"/>
      <c r="U210" s="1"/>
      <c r="V210" s="1"/>
      <c r="W210" s="1"/>
      <c r="X210" s="1"/>
      <c r="Y210" s="1"/>
      <c r="Z210" s="1"/>
      <c r="AA210" s="1"/>
      <c r="AB210" s="1"/>
    </row>
    <row r="211" spans="1:28" ht="14.25" customHeight="1" x14ac:dyDescent="0.2">
      <c r="A211" s="72"/>
      <c r="B211" s="17">
        <v>210</v>
      </c>
      <c r="C211" s="6" t="s">
        <v>24</v>
      </c>
      <c r="D211" s="6" t="s">
        <v>590</v>
      </c>
      <c r="E211" s="15" t="s">
        <v>591</v>
      </c>
      <c r="F211" s="15" t="s">
        <v>590</v>
      </c>
      <c r="G211" s="16" t="s">
        <v>589</v>
      </c>
      <c r="H211" s="16" t="s">
        <v>36</v>
      </c>
      <c r="I211" s="16" t="s">
        <v>51</v>
      </c>
      <c r="J211" s="15" t="s">
        <v>51</v>
      </c>
      <c r="K211" s="15" t="s">
        <v>51</v>
      </c>
      <c r="L211" s="15" t="s">
        <v>592</v>
      </c>
      <c r="M211" s="1"/>
      <c r="N211" s="1"/>
      <c r="O211" s="1"/>
      <c r="P211" s="1"/>
      <c r="Q211" s="1"/>
      <c r="R211" s="1"/>
      <c r="S211" s="1"/>
      <c r="T211" s="1"/>
      <c r="U211" s="1"/>
      <c r="V211" s="1"/>
      <c r="W211" s="1"/>
      <c r="X211" s="1"/>
      <c r="Y211" s="1"/>
      <c r="Z211" s="1"/>
      <c r="AA211" s="1"/>
      <c r="AB211" s="1"/>
    </row>
    <row r="212" spans="1:28" ht="14.25" customHeight="1" x14ac:dyDescent="0.2">
      <c r="A212" s="72"/>
      <c r="B212" s="17">
        <v>211</v>
      </c>
      <c r="C212" s="6" t="s">
        <v>24</v>
      </c>
      <c r="D212" s="6" t="s">
        <v>593</v>
      </c>
      <c r="E212" s="15" t="s">
        <v>594</v>
      </c>
      <c r="F212" s="15" t="s">
        <v>593</v>
      </c>
      <c r="G212" s="16" t="s">
        <v>589</v>
      </c>
      <c r="H212" s="16" t="s">
        <v>36</v>
      </c>
      <c r="I212" s="16" t="s">
        <v>51</v>
      </c>
      <c r="J212" s="15" t="s">
        <v>51</v>
      </c>
      <c r="K212" s="15" t="s">
        <v>51</v>
      </c>
      <c r="L212" s="15" t="s">
        <v>592</v>
      </c>
      <c r="M212" s="1"/>
      <c r="N212" s="1"/>
      <c r="O212" s="1"/>
      <c r="P212" s="1"/>
      <c r="Q212" s="1"/>
      <c r="R212" s="1"/>
      <c r="S212" s="1"/>
      <c r="T212" s="1"/>
      <c r="U212" s="1"/>
      <c r="V212" s="1"/>
      <c r="W212" s="1"/>
      <c r="X212" s="1"/>
      <c r="Y212" s="1"/>
      <c r="Z212" s="1"/>
      <c r="AA212" s="1"/>
      <c r="AB212" s="1"/>
    </row>
    <row r="213" spans="1:28" ht="14.25" customHeight="1" x14ac:dyDescent="0.2">
      <c r="A213" s="72"/>
      <c r="B213" s="17">
        <v>212</v>
      </c>
      <c r="C213" s="6" t="s">
        <v>24</v>
      </c>
      <c r="D213" s="6" t="s">
        <v>595</v>
      </c>
      <c r="E213" s="15" t="s">
        <v>596</v>
      </c>
      <c r="F213" s="15" t="s">
        <v>595</v>
      </c>
      <c r="G213" s="16" t="s">
        <v>589</v>
      </c>
      <c r="H213" s="16" t="s">
        <v>36</v>
      </c>
      <c r="I213" s="16" t="s">
        <v>51</v>
      </c>
      <c r="J213" s="15" t="s">
        <v>36</v>
      </c>
      <c r="K213" s="15" t="s">
        <v>51</v>
      </c>
      <c r="L213" s="15"/>
      <c r="M213" s="1"/>
      <c r="N213" s="1"/>
      <c r="O213" s="1"/>
      <c r="P213" s="1"/>
      <c r="Q213" s="1"/>
      <c r="R213" s="1"/>
      <c r="S213" s="1"/>
      <c r="T213" s="1"/>
      <c r="U213" s="1"/>
      <c r="V213" s="1"/>
      <c r="W213" s="1"/>
      <c r="X213" s="1"/>
      <c r="Y213" s="1"/>
      <c r="Z213" s="1"/>
      <c r="AA213" s="1"/>
      <c r="AB213" s="1"/>
    </row>
    <row r="214" spans="1:28" ht="14.25" customHeight="1" x14ac:dyDescent="0.2">
      <c r="A214" s="72"/>
      <c r="B214" s="17">
        <v>213</v>
      </c>
      <c r="C214" s="6" t="s">
        <v>24</v>
      </c>
      <c r="D214" s="6" t="s">
        <v>597</v>
      </c>
      <c r="E214" s="15" t="s">
        <v>598</v>
      </c>
      <c r="F214" s="15" t="s">
        <v>597</v>
      </c>
      <c r="G214" s="16" t="s">
        <v>589</v>
      </c>
      <c r="H214" s="16" t="s">
        <v>36</v>
      </c>
      <c r="I214" s="16" t="s">
        <v>51</v>
      </c>
      <c r="J214" s="15" t="s">
        <v>36</v>
      </c>
      <c r="K214" s="15" t="s">
        <v>51</v>
      </c>
      <c r="L214" s="15"/>
      <c r="M214" s="1"/>
      <c r="N214" s="1"/>
      <c r="O214" s="1"/>
      <c r="P214" s="1"/>
      <c r="Q214" s="1"/>
      <c r="R214" s="1"/>
      <c r="S214" s="1"/>
      <c r="T214" s="1"/>
      <c r="U214" s="1"/>
      <c r="V214" s="1"/>
      <c r="W214" s="1"/>
      <c r="X214" s="1"/>
      <c r="Y214" s="1"/>
      <c r="Z214" s="1"/>
      <c r="AA214" s="1"/>
      <c r="AB214" s="1"/>
    </row>
    <row r="215" spans="1:28" ht="144" x14ac:dyDescent="0.2">
      <c r="A215" s="72"/>
      <c r="B215" s="17">
        <v>214</v>
      </c>
      <c r="C215" s="6" t="s">
        <v>24</v>
      </c>
      <c r="D215" s="18" t="s">
        <v>599</v>
      </c>
      <c r="E215" s="15" t="s">
        <v>600</v>
      </c>
      <c r="F215" s="15" t="s">
        <v>601</v>
      </c>
      <c r="G215" s="16" t="s">
        <v>589</v>
      </c>
      <c r="H215" s="16" t="s">
        <v>51</v>
      </c>
      <c r="I215" s="16" t="s">
        <v>52</v>
      </c>
      <c r="J215" s="15" t="s">
        <v>51</v>
      </c>
      <c r="K215" s="15" t="s">
        <v>52</v>
      </c>
      <c r="L215" s="15" t="s">
        <v>602</v>
      </c>
      <c r="M215" s="1"/>
      <c r="N215" s="1"/>
      <c r="O215" s="1"/>
      <c r="P215" s="1"/>
      <c r="Q215" s="1"/>
      <c r="R215" s="1"/>
      <c r="S215" s="1"/>
      <c r="T215" s="1"/>
      <c r="U215" s="1"/>
      <c r="V215" s="1"/>
      <c r="W215" s="1"/>
      <c r="X215" s="1"/>
      <c r="Y215" s="1"/>
      <c r="Z215" s="1"/>
      <c r="AA215" s="1"/>
      <c r="AB215" s="1"/>
    </row>
    <row r="216" spans="1:28" ht="14.25" customHeight="1" x14ac:dyDescent="0.2">
      <c r="A216" s="72"/>
      <c r="B216" s="17">
        <v>215</v>
      </c>
      <c r="C216" s="6" t="s">
        <v>24</v>
      </c>
      <c r="D216" s="6" t="s">
        <v>603</v>
      </c>
      <c r="E216" s="15" t="s">
        <v>604</v>
      </c>
      <c r="F216" s="15" t="s">
        <v>603</v>
      </c>
      <c r="G216" s="16" t="s">
        <v>589</v>
      </c>
      <c r="H216" s="16" t="s">
        <v>36</v>
      </c>
      <c r="I216" s="16" t="s">
        <v>51</v>
      </c>
      <c r="J216" s="15" t="s">
        <v>51</v>
      </c>
      <c r="K216" s="15" t="s">
        <v>51</v>
      </c>
      <c r="L216" s="15" t="s">
        <v>592</v>
      </c>
      <c r="M216" s="1"/>
      <c r="N216" s="1"/>
      <c r="O216" s="1"/>
      <c r="P216" s="1"/>
      <c r="Q216" s="1"/>
      <c r="R216" s="1"/>
      <c r="S216" s="1"/>
      <c r="T216" s="1"/>
      <c r="U216" s="1"/>
      <c r="V216" s="1"/>
      <c r="W216" s="1"/>
      <c r="X216" s="1"/>
      <c r="Y216" s="1"/>
      <c r="Z216" s="1"/>
      <c r="AA216" s="1"/>
      <c r="AB216" s="1"/>
    </row>
    <row r="217" spans="1:28" ht="14.25" customHeight="1" x14ac:dyDescent="0.2">
      <c r="A217" s="72"/>
      <c r="B217" s="17">
        <v>216</v>
      </c>
      <c r="C217" s="6" t="s">
        <v>24</v>
      </c>
      <c r="D217" s="6" t="s">
        <v>605</v>
      </c>
      <c r="E217" s="15" t="s">
        <v>606</v>
      </c>
      <c r="F217" s="15" t="s">
        <v>605</v>
      </c>
      <c r="G217" s="16" t="s">
        <v>589</v>
      </c>
      <c r="H217" s="16" t="s">
        <v>36</v>
      </c>
      <c r="I217" s="16" t="s">
        <v>51</v>
      </c>
      <c r="J217" s="15" t="s">
        <v>36</v>
      </c>
      <c r="K217" s="15" t="s">
        <v>51</v>
      </c>
      <c r="L217" s="15"/>
      <c r="M217" s="1"/>
      <c r="N217" s="1"/>
      <c r="O217" s="1"/>
      <c r="P217" s="1"/>
      <c r="Q217" s="1"/>
      <c r="R217" s="1"/>
      <c r="S217" s="1"/>
      <c r="T217" s="1"/>
      <c r="U217" s="1"/>
      <c r="V217" s="1"/>
      <c r="W217" s="1"/>
      <c r="X217" s="1"/>
      <c r="Y217" s="1"/>
      <c r="Z217" s="1"/>
      <c r="AA217" s="1"/>
      <c r="AB217" s="1"/>
    </row>
    <row r="218" spans="1:28" ht="14.25" customHeight="1" x14ac:dyDescent="0.2">
      <c r="A218" s="72"/>
      <c r="B218" s="17">
        <v>217</v>
      </c>
      <c r="C218" s="6" t="s">
        <v>24</v>
      </c>
      <c r="D218" s="6" t="s">
        <v>607</v>
      </c>
      <c r="E218" s="15" t="s">
        <v>608</v>
      </c>
      <c r="F218" s="15" t="s">
        <v>607</v>
      </c>
      <c r="G218" s="16" t="s">
        <v>589</v>
      </c>
      <c r="H218" s="64" t="s">
        <v>609</v>
      </c>
      <c r="I218" s="16" t="s">
        <v>52</v>
      </c>
      <c r="J218" s="15" t="s">
        <v>51</v>
      </c>
      <c r="K218" s="15" t="s">
        <v>52</v>
      </c>
      <c r="L218" s="15" t="s">
        <v>610</v>
      </c>
      <c r="M218" s="1"/>
      <c r="N218" s="1"/>
      <c r="O218" s="1"/>
      <c r="P218" s="1"/>
      <c r="Q218" s="1"/>
      <c r="R218" s="1"/>
      <c r="S218" s="1"/>
      <c r="T218" s="1"/>
      <c r="U218" s="1"/>
      <c r="V218" s="1"/>
      <c r="W218" s="1"/>
      <c r="X218" s="1"/>
      <c r="Y218" s="1"/>
      <c r="Z218" s="1"/>
      <c r="AA218" s="1"/>
      <c r="AB218" s="1"/>
    </row>
    <row r="219" spans="1:28" ht="14.25" customHeight="1" x14ac:dyDescent="0.2">
      <c r="A219" s="72"/>
      <c r="B219" s="17">
        <v>218</v>
      </c>
      <c r="C219" s="6" t="s">
        <v>24</v>
      </c>
      <c r="D219" s="6" t="s">
        <v>611</v>
      </c>
      <c r="E219" s="15" t="s">
        <v>612</v>
      </c>
      <c r="F219" s="15" t="s">
        <v>611</v>
      </c>
      <c r="G219" s="16" t="s">
        <v>589</v>
      </c>
      <c r="H219" s="16" t="s">
        <v>36</v>
      </c>
      <c r="I219" s="16" t="s">
        <v>51</v>
      </c>
      <c r="J219" s="15" t="s">
        <v>51</v>
      </c>
      <c r="K219" s="15" t="s">
        <v>51</v>
      </c>
      <c r="L219" s="15"/>
      <c r="M219" s="1"/>
      <c r="N219" s="1"/>
      <c r="O219" s="1"/>
      <c r="P219" s="1"/>
      <c r="Q219" s="1"/>
      <c r="R219" s="1"/>
      <c r="S219" s="1"/>
      <c r="T219" s="1"/>
      <c r="U219" s="1"/>
      <c r="V219" s="1"/>
      <c r="W219" s="1"/>
      <c r="X219" s="1"/>
      <c r="Y219" s="1"/>
      <c r="Z219" s="1"/>
      <c r="AA219" s="1"/>
      <c r="AB219" s="1"/>
    </row>
    <row r="220" spans="1:28" ht="14.25" customHeight="1" x14ac:dyDescent="0.2">
      <c r="A220" s="72"/>
      <c r="B220" s="17">
        <v>219</v>
      </c>
      <c r="C220" s="6" t="s">
        <v>24</v>
      </c>
      <c r="D220" s="6" t="s">
        <v>613</v>
      </c>
      <c r="E220" s="15" t="s">
        <v>614</v>
      </c>
      <c r="F220" s="15" t="s">
        <v>615</v>
      </c>
      <c r="G220" s="16" t="s">
        <v>589</v>
      </c>
      <c r="H220" s="16" t="s">
        <v>36</v>
      </c>
      <c r="I220" s="16" t="s">
        <v>51</v>
      </c>
      <c r="J220" s="15" t="s">
        <v>51</v>
      </c>
      <c r="K220" s="15" t="s">
        <v>51</v>
      </c>
      <c r="L220" s="15"/>
      <c r="M220" s="1"/>
      <c r="N220" s="1"/>
      <c r="O220" s="1"/>
      <c r="P220" s="1"/>
      <c r="Q220" s="1"/>
      <c r="R220" s="1"/>
      <c r="S220" s="1"/>
      <c r="T220" s="1"/>
      <c r="U220" s="1"/>
      <c r="V220" s="1"/>
      <c r="W220" s="1"/>
      <c r="X220" s="1"/>
      <c r="Y220" s="1"/>
      <c r="Z220" s="1"/>
      <c r="AA220" s="1"/>
      <c r="AB220" s="1"/>
    </row>
    <row r="221" spans="1:28" ht="14.25" customHeight="1" x14ac:dyDescent="0.2">
      <c r="A221" s="72"/>
      <c r="B221" s="17">
        <v>220</v>
      </c>
      <c r="C221" s="6" t="s">
        <v>24</v>
      </c>
      <c r="D221" s="6" t="s">
        <v>616</v>
      </c>
      <c r="E221" s="15" t="s">
        <v>617</v>
      </c>
      <c r="F221" s="15" t="s">
        <v>616</v>
      </c>
      <c r="G221" s="16" t="s">
        <v>589</v>
      </c>
      <c r="H221" s="16" t="s">
        <v>36</v>
      </c>
      <c r="I221" s="16" t="s">
        <v>51</v>
      </c>
      <c r="J221" s="15" t="s">
        <v>36</v>
      </c>
      <c r="K221" s="15" t="s">
        <v>51</v>
      </c>
      <c r="L221" s="15"/>
      <c r="M221" s="1"/>
      <c r="N221" s="1"/>
      <c r="O221" s="1"/>
      <c r="P221" s="1"/>
      <c r="Q221" s="1"/>
      <c r="R221" s="1"/>
      <c r="S221" s="1"/>
      <c r="T221" s="1"/>
      <c r="U221" s="1"/>
      <c r="V221" s="1"/>
      <c r="W221" s="1"/>
      <c r="X221" s="1"/>
      <c r="Y221" s="1"/>
      <c r="Z221" s="1"/>
      <c r="AA221" s="1"/>
      <c r="AB221" s="1"/>
    </row>
    <row r="222" spans="1:28" ht="14.25" customHeight="1" x14ac:dyDescent="0.2">
      <c r="A222" s="72"/>
      <c r="B222" s="17">
        <v>221</v>
      </c>
      <c r="C222" s="6" t="s">
        <v>24</v>
      </c>
      <c r="D222" s="6" t="s">
        <v>618</v>
      </c>
      <c r="E222" s="15" t="s">
        <v>619</v>
      </c>
      <c r="F222" s="15" t="s">
        <v>618</v>
      </c>
      <c r="G222" s="16" t="s">
        <v>589</v>
      </c>
      <c r="H222" s="16" t="s">
        <v>36</v>
      </c>
      <c r="I222" s="16" t="s">
        <v>51</v>
      </c>
      <c r="J222" s="15" t="s">
        <v>36</v>
      </c>
      <c r="K222" s="15" t="s">
        <v>51</v>
      </c>
      <c r="L222" s="15"/>
      <c r="M222" s="1"/>
      <c r="N222" s="1"/>
      <c r="O222" s="1"/>
      <c r="P222" s="1"/>
      <c r="Q222" s="1"/>
      <c r="R222" s="1"/>
      <c r="S222" s="1"/>
      <c r="T222" s="1"/>
      <c r="U222" s="1"/>
      <c r="V222" s="1"/>
      <c r="W222" s="1"/>
      <c r="X222" s="1"/>
      <c r="Y222" s="1"/>
      <c r="Z222" s="1"/>
      <c r="AA222" s="1"/>
      <c r="AB222" s="1"/>
    </row>
    <row r="223" spans="1:28" ht="14.25" customHeight="1" x14ac:dyDescent="0.2">
      <c r="A223" s="72"/>
      <c r="B223" s="17">
        <v>222</v>
      </c>
      <c r="C223" s="6" t="s">
        <v>24</v>
      </c>
      <c r="D223" s="6" t="s">
        <v>620</v>
      </c>
      <c r="E223" s="15" t="s">
        <v>621</v>
      </c>
      <c r="F223" s="15" t="s">
        <v>620</v>
      </c>
      <c r="G223" s="16" t="s">
        <v>589</v>
      </c>
      <c r="H223" s="16" t="s">
        <v>51</v>
      </c>
      <c r="I223" s="16" t="s">
        <v>52</v>
      </c>
      <c r="J223" s="15" t="s">
        <v>51</v>
      </c>
      <c r="K223" s="15" t="s">
        <v>52</v>
      </c>
      <c r="L223" s="15" t="s">
        <v>602</v>
      </c>
      <c r="M223" s="1"/>
      <c r="N223" s="1"/>
      <c r="O223" s="1"/>
      <c r="P223" s="1"/>
      <c r="Q223" s="1"/>
      <c r="R223" s="1"/>
      <c r="S223" s="1"/>
      <c r="T223" s="1"/>
      <c r="U223" s="1"/>
      <c r="V223" s="1"/>
      <c r="W223" s="1"/>
      <c r="X223" s="1"/>
      <c r="Y223" s="1"/>
      <c r="Z223" s="1"/>
      <c r="AA223" s="1"/>
      <c r="AB223" s="1"/>
    </row>
    <row r="224" spans="1:28" ht="14.25" customHeight="1" x14ac:dyDescent="0.2">
      <c r="A224" s="72"/>
      <c r="B224" s="17">
        <v>223</v>
      </c>
      <c r="C224" s="6" t="s">
        <v>24</v>
      </c>
      <c r="D224" s="6" t="s">
        <v>622</v>
      </c>
      <c r="E224" s="15" t="s">
        <v>623</v>
      </c>
      <c r="F224" s="15" t="s">
        <v>622</v>
      </c>
      <c r="G224" s="16" t="s">
        <v>589</v>
      </c>
      <c r="H224" s="16" t="s">
        <v>36</v>
      </c>
      <c r="I224" s="16" t="s">
        <v>51</v>
      </c>
      <c r="J224" s="15" t="s">
        <v>36</v>
      </c>
      <c r="K224" s="15" t="s">
        <v>51</v>
      </c>
      <c r="L224" s="15"/>
      <c r="M224" s="1"/>
      <c r="N224" s="1"/>
      <c r="O224" s="1"/>
      <c r="P224" s="1"/>
      <c r="Q224" s="1"/>
      <c r="R224" s="1"/>
      <c r="S224" s="1"/>
      <c r="T224" s="1"/>
      <c r="U224" s="1"/>
      <c r="V224" s="1"/>
      <c r="W224" s="1"/>
      <c r="X224" s="1"/>
      <c r="Y224" s="1"/>
      <c r="Z224" s="1"/>
      <c r="AA224" s="1"/>
      <c r="AB224" s="1"/>
    </row>
    <row r="225" spans="1:28" ht="14.25" customHeight="1" x14ac:dyDescent="0.2">
      <c r="A225" s="72"/>
      <c r="B225" s="17">
        <v>224</v>
      </c>
      <c r="C225" s="6" t="s">
        <v>24</v>
      </c>
      <c r="D225" s="6" t="s">
        <v>624</v>
      </c>
      <c r="E225" s="15" t="s">
        <v>625</v>
      </c>
      <c r="F225" s="15" t="s">
        <v>624</v>
      </c>
      <c r="G225" s="16" t="s">
        <v>589</v>
      </c>
      <c r="H225" s="16" t="s">
        <v>51</v>
      </c>
      <c r="I225" s="16" t="s">
        <v>52</v>
      </c>
      <c r="J225" s="15" t="s">
        <v>51</v>
      </c>
      <c r="K225" s="15" t="s">
        <v>52</v>
      </c>
      <c r="L225" s="19">
        <v>2373</v>
      </c>
      <c r="M225" s="1"/>
      <c r="N225" s="1"/>
      <c r="O225" s="1"/>
      <c r="P225" s="1"/>
      <c r="Q225" s="1"/>
      <c r="R225" s="1"/>
      <c r="S225" s="1"/>
      <c r="T225" s="1"/>
      <c r="U225" s="1"/>
      <c r="V225" s="1"/>
      <c r="W225" s="1"/>
      <c r="X225" s="1"/>
      <c r="Y225" s="1"/>
      <c r="Z225" s="1"/>
      <c r="AA225" s="1"/>
      <c r="AB225" s="1"/>
    </row>
    <row r="226" spans="1:28" ht="32" x14ac:dyDescent="0.2">
      <c r="A226" s="72"/>
      <c r="B226" s="17">
        <v>225</v>
      </c>
      <c r="C226" s="6" t="s">
        <v>24</v>
      </c>
      <c r="D226" s="18" t="s">
        <v>626</v>
      </c>
      <c r="E226" s="15" t="s">
        <v>627</v>
      </c>
      <c r="F226" s="15" t="s">
        <v>628</v>
      </c>
      <c r="G226" s="16" t="s">
        <v>65</v>
      </c>
      <c r="H226" s="16" t="s">
        <v>51</v>
      </c>
      <c r="I226" s="16" t="s">
        <v>52</v>
      </c>
      <c r="J226" s="15" t="s">
        <v>51</v>
      </c>
      <c r="K226" s="15" t="s">
        <v>52</v>
      </c>
      <c r="L226" s="15" t="s">
        <v>629</v>
      </c>
      <c r="M226" s="1"/>
      <c r="N226" s="1"/>
      <c r="O226" s="1"/>
      <c r="P226" s="1"/>
      <c r="Q226" s="1"/>
      <c r="R226" s="1"/>
      <c r="S226" s="1"/>
      <c r="T226" s="1"/>
      <c r="U226" s="1"/>
      <c r="V226" s="1"/>
      <c r="W226" s="1"/>
      <c r="X226" s="1"/>
      <c r="Y226" s="1"/>
      <c r="Z226" s="1"/>
      <c r="AA226" s="1"/>
      <c r="AB226" s="1"/>
    </row>
    <row r="227" spans="1:28" ht="14.25" customHeight="1" x14ac:dyDescent="0.2">
      <c r="A227" s="72"/>
      <c r="B227" s="17">
        <v>226</v>
      </c>
      <c r="C227" s="6" t="s">
        <v>24</v>
      </c>
      <c r="D227" s="6" t="s">
        <v>630</v>
      </c>
      <c r="E227" s="15" t="s">
        <v>631</v>
      </c>
      <c r="F227" s="15" t="s">
        <v>630</v>
      </c>
      <c r="G227" s="16" t="s">
        <v>589</v>
      </c>
      <c r="H227" s="16" t="s">
        <v>51</v>
      </c>
      <c r="I227" s="16" t="s">
        <v>52</v>
      </c>
      <c r="J227" s="15" t="s">
        <v>51</v>
      </c>
      <c r="K227" s="15" t="s">
        <v>52</v>
      </c>
      <c r="L227" s="15" t="s">
        <v>592</v>
      </c>
      <c r="M227" s="1"/>
      <c r="N227" s="1"/>
      <c r="O227" s="1"/>
      <c r="P227" s="1"/>
      <c r="Q227" s="1"/>
      <c r="R227" s="1"/>
      <c r="S227" s="1"/>
      <c r="T227" s="1"/>
      <c r="U227" s="1"/>
      <c r="V227" s="1"/>
      <c r="W227" s="1"/>
      <c r="X227" s="1"/>
      <c r="Y227" s="1"/>
      <c r="Z227" s="1"/>
      <c r="AA227" s="1"/>
      <c r="AB227" s="1"/>
    </row>
    <row r="228" spans="1:28" ht="14.25" customHeight="1" x14ac:dyDescent="0.2">
      <c r="A228" s="72"/>
      <c r="B228" s="17">
        <v>227</v>
      </c>
      <c r="C228" s="6" t="s">
        <v>24</v>
      </c>
      <c r="D228" s="18" t="s">
        <v>632</v>
      </c>
      <c r="E228" s="15" t="s">
        <v>633</v>
      </c>
      <c r="F228" s="15" t="s">
        <v>634</v>
      </c>
      <c r="G228" s="16" t="s">
        <v>589</v>
      </c>
      <c r="H228" s="16" t="s">
        <v>51</v>
      </c>
      <c r="I228" s="16" t="s">
        <v>52</v>
      </c>
      <c r="J228" s="15" t="s">
        <v>51</v>
      </c>
      <c r="K228" s="15" t="s">
        <v>52</v>
      </c>
      <c r="L228" s="15"/>
      <c r="M228" s="1"/>
      <c r="N228" s="1"/>
      <c r="O228" s="1"/>
      <c r="P228" s="1"/>
      <c r="Q228" s="1"/>
      <c r="R228" s="1"/>
      <c r="S228" s="1"/>
      <c r="T228" s="1"/>
      <c r="U228" s="1"/>
      <c r="V228" s="1"/>
      <c r="W228" s="1"/>
      <c r="X228" s="1"/>
      <c r="Y228" s="1"/>
      <c r="Z228" s="1"/>
      <c r="AA228" s="1"/>
      <c r="AB228" s="1"/>
    </row>
    <row r="229" spans="1:28" ht="14.25" customHeight="1" x14ac:dyDescent="0.2">
      <c r="A229" s="72"/>
      <c r="B229" s="17">
        <v>228</v>
      </c>
      <c r="C229" s="6" t="s">
        <v>24</v>
      </c>
      <c r="D229" s="6" t="s">
        <v>635</v>
      </c>
      <c r="E229" s="15" t="s">
        <v>636</v>
      </c>
      <c r="F229" s="15" t="s">
        <v>637</v>
      </c>
      <c r="G229" s="16" t="s">
        <v>589</v>
      </c>
      <c r="H229" s="16" t="s">
        <v>51</v>
      </c>
      <c r="I229" s="16" t="s">
        <v>52</v>
      </c>
      <c r="J229" s="15" t="s">
        <v>51</v>
      </c>
      <c r="K229" s="15" t="s">
        <v>52</v>
      </c>
      <c r="L229" s="15"/>
      <c r="M229" s="1"/>
      <c r="N229" s="1"/>
      <c r="O229" s="1"/>
      <c r="P229" s="1"/>
      <c r="Q229" s="1"/>
      <c r="R229" s="1"/>
      <c r="S229" s="1"/>
      <c r="T229" s="1"/>
      <c r="U229" s="1"/>
      <c r="V229" s="1"/>
      <c r="W229" s="1"/>
      <c r="X229" s="1"/>
      <c r="Y229" s="1"/>
      <c r="Z229" s="1"/>
      <c r="AA229" s="1"/>
      <c r="AB229" s="1"/>
    </row>
    <row r="230" spans="1:28" ht="14.25" customHeight="1" x14ac:dyDescent="0.2">
      <c r="A230" s="72"/>
      <c r="B230" s="17">
        <v>229</v>
      </c>
      <c r="C230" s="6" t="s">
        <v>24</v>
      </c>
      <c r="D230" s="6" t="s">
        <v>638</v>
      </c>
      <c r="E230" s="15" t="s">
        <v>639</v>
      </c>
      <c r="F230" s="15" t="s">
        <v>638</v>
      </c>
      <c r="G230" s="16" t="s">
        <v>589</v>
      </c>
      <c r="H230" s="16" t="s">
        <v>51</v>
      </c>
      <c r="I230" s="16" t="s">
        <v>52</v>
      </c>
      <c r="J230" s="15" t="s">
        <v>51</v>
      </c>
      <c r="K230" s="15" t="s">
        <v>52</v>
      </c>
      <c r="L230" s="19">
        <v>2792</v>
      </c>
      <c r="M230" s="1"/>
      <c r="N230" s="1"/>
      <c r="O230" s="1"/>
      <c r="P230" s="1"/>
      <c r="Q230" s="1"/>
      <c r="R230" s="1"/>
      <c r="S230" s="1"/>
      <c r="T230" s="1"/>
      <c r="U230" s="1"/>
      <c r="V230" s="1"/>
      <c r="W230" s="1"/>
      <c r="X230" s="1"/>
      <c r="Y230" s="1"/>
      <c r="Z230" s="1"/>
      <c r="AA230" s="1"/>
      <c r="AB230" s="1"/>
    </row>
    <row r="231" spans="1:28" ht="96" x14ac:dyDescent="0.2">
      <c r="A231" s="72"/>
      <c r="B231" s="17">
        <v>230</v>
      </c>
      <c r="C231" s="6" t="s">
        <v>24</v>
      </c>
      <c r="D231" s="18" t="s">
        <v>640</v>
      </c>
      <c r="E231" s="15" t="s">
        <v>641</v>
      </c>
      <c r="F231" s="15" t="s">
        <v>642</v>
      </c>
      <c r="G231" s="16" t="s">
        <v>589</v>
      </c>
      <c r="H231" s="16" t="s">
        <v>51</v>
      </c>
      <c r="I231" s="16" t="s">
        <v>52</v>
      </c>
      <c r="J231" s="15" t="s">
        <v>51</v>
      </c>
      <c r="K231" s="15" t="s">
        <v>52</v>
      </c>
      <c r="L231" s="15"/>
      <c r="M231" s="1"/>
      <c r="N231" s="1"/>
      <c r="O231" s="1"/>
      <c r="P231" s="1"/>
      <c r="Q231" s="1"/>
      <c r="R231" s="1"/>
      <c r="S231" s="1"/>
      <c r="T231" s="1"/>
      <c r="U231" s="1"/>
      <c r="V231" s="1"/>
      <c r="W231" s="1"/>
      <c r="X231" s="1"/>
      <c r="Y231" s="1"/>
      <c r="Z231" s="1"/>
      <c r="AA231" s="1"/>
      <c r="AB231" s="1"/>
    </row>
    <row r="232" spans="1:28" ht="64" x14ac:dyDescent="0.2">
      <c r="A232" s="72"/>
      <c r="B232" s="17">
        <v>231</v>
      </c>
      <c r="C232" s="6" t="s">
        <v>24</v>
      </c>
      <c r="D232" s="18" t="s">
        <v>643</v>
      </c>
      <c r="E232" s="15" t="s">
        <v>644</v>
      </c>
      <c r="F232" s="15" t="s">
        <v>645</v>
      </c>
      <c r="G232" s="16" t="s">
        <v>589</v>
      </c>
      <c r="H232" s="16" t="s">
        <v>51</v>
      </c>
      <c r="I232" s="16" t="s">
        <v>52</v>
      </c>
      <c r="J232" s="15" t="s">
        <v>51</v>
      </c>
      <c r="K232" s="15" t="s">
        <v>52</v>
      </c>
      <c r="L232" s="15"/>
      <c r="M232" s="1"/>
      <c r="N232" s="1"/>
      <c r="O232" s="1"/>
      <c r="P232" s="1"/>
      <c r="Q232" s="1"/>
      <c r="R232" s="1"/>
      <c r="S232" s="1"/>
      <c r="T232" s="1"/>
      <c r="U232" s="1"/>
      <c r="V232" s="1"/>
      <c r="W232" s="1"/>
      <c r="X232" s="1"/>
      <c r="Y232" s="1"/>
      <c r="Z232" s="1"/>
      <c r="AA232" s="1"/>
      <c r="AB232" s="1"/>
    </row>
    <row r="233" spans="1:28" ht="14.25" customHeight="1" x14ac:dyDescent="0.2">
      <c r="A233" s="72"/>
      <c r="B233" s="17">
        <v>232</v>
      </c>
      <c r="C233" s="6" t="s">
        <v>24</v>
      </c>
      <c r="D233" s="6" t="s">
        <v>646</v>
      </c>
      <c r="E233" s="15" t="s">
        <v>647</v>
      </c>
      <c r="F233" s="15" t="s">
        <v>646</v>
      </c>
      <c r="G233" s="16" t="s">
        <v>589</v>
      </c>
      <c r="H233" s="16" t="s">
        <v>36</v>
      </c>
      <c r="I233" s="16" t="s">
        <v>51</v>
      </c>
      <c r="J233" s="15" t="s">
        <v>36</v>
      </c>
      <c r="K233" s="15" t="s">
        <v>51</v>
      </c>
      <c r="L233" s="15"/>
      <c r="M233" s="1"/>
      <c r="N233" s="1"/>
      <c r="O233" s="1"/>
      <c r="P233" s="1"/>
      <c r="Q233" s="1"/>
      <c r="R233" s="1"/>
      <c r="S233" s="1"/>
      <c r="T233" s="1"/>
      <c r="U233" s="1"/>
      <c r="V233" s="1"/>
      <c r="W233" s="1"/>
      <c r="X233" s="1"/>
      <c r="Y233" s="1"/>
      <c r="Z233" s="1"/>
      <c r="AA233" s="1"/>
      <c r="AB233" s="1"/>
    </row>
    <row r="234" spans="1:28" ht="14.25" customHeight="1" x14ac:dyDescent="0.2">
      <c r="A234" s="72"/>
      <c r="B234" s="17">
        <v>233</v>
      </c>
      <c r="C234" s="6" t="s">
        <v>24</v>
      </c>
      <c r="D234" s="6" t="s">
        <v>648</v>
      </c>
      <c r="E234" s="15" t="s">
        <v>649</v>
      </c>
      <c r="F234" s="15" t="s">
        <v>650</v>
      </c>
      <c r="G234" s="16" t="s">
        <v>589</v>
      </c>
      <c r="H234" s="16" t="s">
        <v>36</v>
      </c>
      <c r="I234" s="16" t="s">
        <v>51</v>
      </c>
      <c r="J234" s="15" t="s">
        <v>51</v>
      </c>
      <c r="K234" s="15" t="s">
        <v>51</v>
      </c>
      <c r="L234" s="15"/>
      <c r="M234" s="1"/>
      <c r="N234" s="1"/>
      <c r="O234" s="1"/>
      <c r="P234" s="1"/>
      <c r="Q234" s="1"/>
      <c r="R234" s="1"/>
      <c r="S234" s="1"/>
      <c r="T234" s="1"/>
      <c r="U234" s="1"/>
      <c r="V234" s="1"/>
      <c r="W234" s="1"/>
      <c r="X234" s="1"/>
      <c r="Y234" s="1"/>
      <c r="Z234" s="1"/>
      <c r="AA234" s="1"/>
      <c r="AB234" s="1"/>
    </row>
    <row r="235" spans="1:28" ht="32" x14ac:dyDescent="0.2">
      <c r="A235" s="72"/>
      <c r="B235" s="17">
        <v>234</v>
      </c>
      <c r="C235" s="6" t="s">
        <v>24</v>
      </c>
      <c r="D235" s="18" t="s">
        <v>651</v>
      </c>
      <c r="E235" s="15" t="s">
        <v>652</v>
      </c>
      <c r="F235" s="15" t="s">
        <v>653</v>
      </c>
      <c r="G235" s="16" t="s">
        <v>589</v>
      </c>
      <c r="H235" s="16" t="s">
        <v>51</v>
      </c>
      <c r="I235" s="16" t="s">
        <v>52</v>
      </c>
      <c r="J235" s="15" t="s">
        <v>51</v>
      </c>
      <c r="K235" s="15" t="s">
        <v>52</v>
      </c>
      <c r="L235" s="19">
        <v>8283</v>
      </c>
      <c r="M235" s="1"/>
      <c r="N235" s="1"/>
      <c r="O235" s="1"/>
      <c r="P235" s="1"/>
      <c r="Q235" s="1"/>
      <c r="R235" s="1"/>
      <c r="S235" s="1"/>
      <c r="T235" s="1"/>
      <c r="U235" s="1"/>
      <c r="V235" s="1"/>
      <c r="W235" s="1"/>
      <c r="X235" s="1"/>
      <c r="Y235" s="1"/>
      <c r="Z235" s="1"/>
      <c r="AA235" s="1"/>
      <c r="AB235" s="1"/>
    </row>
    <row r="236" spans="1:28" ht="14.25" customHeight="1" x14ac:dyDescent="0.2">
      <c r="A236" s="72"/>
      <c r="B236" s="17">
        <v>235</v>
      </c>
      <c r="C236" s="6" t="s">
        <v>24</v>
      </c>
      <c r="D236" s="6" t="s">
        <v>654</v>
      </c>
      <c r="E236" s="15" t="s">
        <v>655</v>
      </c>
      <c r="F236" s="15" t="s">
        <v>654</v>
      </c>
      <c r="G236" s="16" t="s">
        <v>589</v>
      </c>
      <c r="H236" s="16" t="s">
        <v>51</v>
      </c>
      <c r="I236" s="16" t="s">
        <v>52</v>
      </c>
      <c r="J236" s="15" t="s">
        <v>51</v>
      </c>
      <c r="K236" s="15" t="s">
        <v>52</v>
      </c>
      <c r="L236" s="15" t="s">
        <v>602</v>
      </c>
      <c r="M236" s="1"/>
      <c r="N236" s="1"/>
      <c r="O236" s="1"/>
      <c r="P236" s="1"/>
      <c r="Q236" s="1"/>
      <c r="R236" s="1"/>
      <c r="S236" s="1"/>
      <c r="T236" s="1"/>
      <c r="U236" s="1"/>
      <c r="V236" s="1"/>
      <c r="W236" s="1"/>
      <c r="X236" s="1"/>
      <c r="Y236" s="1"/>
      <c r="Z236" s="1"/>
      <c r="AA236" s="1"/>
      <c r="AB236" s="1"/>
    </row>
    <row r="237" spans="1:28" ht="14.25" customHeight="1" x14ac:dyDescent="0.2">
      <c r="A237" s="72"/>
      <c r="B237" s="17">
        <v>236</v>
      </c>
      <c r="C237" s="6" t="s">
        <v>24</v>
      </c>
      <c r="D237" s="6" t="s">
        <v>656</v>
      </c>
      <c r="E237" s="15" t="s">
        <v>657</v>
      </c>
      <c r="F237" s="15" t="s">
        <v>658</v>
      </c>
      <c r="G237" s="16" t="s">
        <v>589</v>
      </c>
      <c r="H237" s="16" t="s">
        <v>51</v>
      </c>
      <c r="I237" s="16" t="s">
        <v>52</v>
      </c>
      <c r="J237" s="15" t="s">
        <v>51</v>
      </c>
      <c r="K237" s="15" t="s">
        <v>52</v>
      </c>
      <c r="L237" s="19">
        <v>2083</v>
      </c>
      <c r="M237" s="1"/>
      <c r="N237" s="1"/>
      <c r="O237" s="1"/>
      <c r="P237" s="1"/>
      <c r="Q237" s="1"/>
      <c r="R237" s="1"/>
      <c r="S237" s="1"/>
      <c r="T237" s="1"/>
      <c r="U237" s="1"/>
      <c r="V237" s="1"/>
      <c r="W237" s="1"/>
      <c r="X237" s="1"/>
      <c r="Y237" s="1"/>
      <c r="Z237" s="1"/>
      <c r="AA237" s="1"/>
      <c r="AB237" s="1"/>
    </row>
    <row r="238" spans="1:28" ht="14.25" customHeight="1" x14ac:dyDescent="0.2">
      <c r="A238" s="72"/>
      <c r="B238" s="17">
        <v>237</v>
      </c>
      <c r="C238" s="6" t="s">
        <v>24</v>
      </c>
      <c r="D238" s="6" t="s">
        <v>659</v>
      </c>
      <c r="E238" s="15" t="s">
        <v>660</v>
      </c>
      <c r="F238" s="15" t="s">
        <v>659</v>
      </c>
      <c r="G238" s="16" t="s">
        <v>589</v>
      </c>
      <c r="H238" s="16" t="s">
        <v>36</v>
      </c>
      <c r="I238" s="16" t="s">
        <v>51</v>
      </c>
      <c r="J238" s="15" t="s">
        <v>51</v>
      </c>
      <c r="K238" s="15" t="s">
        <v>51</v>
      </c>
      <c r="L238" s="15"/>
      <c r="M238" s="1"/>
      <c r="N238" s="1"/>
      <c r="O238" s="1"/>
      <c r="P238" s="1"/>
      <c r="Q238" s="1"/>
      <c r="R238" s="1"/>
      <c r="S238" s="1"/>
      <c r="T238" s="1"/>
      <c r="U238" s="1"/>
      <c r="V238" s="1"/>
      <c r="W238" s="1"/>
      <c r="X238" s="1"/>
      <c r="Y238" s="1"/>
      <c r="Z238" s="1"/>
      <c r="AA238" s="1"/>
      <c r="AB238" s="1"/>
    </row>
    <row r="239" spans="1:28" ht="14.25" customHeight="1" x14ac:dyDescent="0.2">
      <c r="A239" s="72"/>
      <c r="B239" s="17">
        <v>238</v>
      </c>
      <c r="C239" s="6" t="s">
        <v>24</v>
      </c>
      <c r="D239" s="18" t="s">
        <v>661</v>
      </c>
      <c r="E239" s="15" t="s">
        <v>662</v>
      </c>
      <c r="F239" s="15" t="s">
        <v>663</v>
      </c>
      <c r="G239" s="16" t="s">
        <v>589</v>
      </c>
      <c r="H239" s="16" t="s">
        <v>51</v>
      </c>
      <c r="I239" s="16" t="s">
        <v>52</v>
      </c>
      <c r="J239" s="15" t="s">
        <v>51</v>
      </c>
      <c r="K239" s="15" t="s">
        <v>52</v>
      </c>
      <c r="L239" s="15" t="s">
        <v>602</v>
      </c>
      <c r="M239" s="1"/>
      <c r="N239" s="1"/>
      <c r="O239" s="1"/>
      <c r="P239" s="1"/>
      <c r="Q239" s="1"/>
      <c r="R239" s="1"/>
      <c r="S239" s="1"/>
      <c r="T239" s="1"/>
      <c r="U239" s="1"/>
      <c r="V239" s="1"/>
      <c r="W239" s="1"/>
      <c r="X239" s="1"/>
      <c r="Y239" s="1"/>
      <c r="Z239" s="1"/>
      <c r="AA239" s="1"/>
      <c r="AB239" s="1"/>
    </row>
    <row r="240" spans="1:28" ht="14.25" customHeight="1" x14ac:dyDescent="0.2">
      <c r="A240" s="72"/>
      <c r="B240" s="17">
        <v>239</v>
      </c>
      <c r="C240" s="6" t="s">
        <v>24</v>
      </c>
      <c r="D240" s="6" t="s">
        <v>664</v>
      </c>
      <c r="E240" s="15" t="s">
        <v>665</v>
      </c>
      <c r="F240" s="15" t="s">
        <v>664</v>
      </c>
      <c r="G240" s="16" t="s">
        <v>589</v>
      </c>
      <c r="H240" s="16" t="s">
        <v>36</v>
      </c>
      <c r="I240" s="16" t="s">
        <v>51</v>
      </c>
      <c r="J240" s="15" t="s">
        <v>51</v>
      </c>
      <c r="K240" s="15" t="s">
        <v>51</v>
      </c>
      <c r="L240" s="15"/>
      <c r="M240" s="1"/>
      <c r="N240" s="1"/>
      <c r="O240" s="1"/>
      <c r="P240" s="1"/>
      <c r="Q240" s="1"/>
      <c r="R240" s="1"/>
      <c r="S240" s="1"/>
      <c r="T240" s="1"/>
      <c r="U240" s="1"/>
      <c r="V240" s="1"/>
      <c r="W240" s="1"/>
      <c r="X240" s="1"/>
      <c r="Y240" s="1"/>
      <c r="Z240" s="1"/>
      <c r="AA240" s="1"/>
      <c r="AB240" s="1"/>
    </row>
    <row r="241" spans="1:28" ht="38.25" customHeight="1" x14ac:dyDescent="0.2">
      <c r="A241" s="72"/>
      <c r="B241" s="17">
        <v>240</v>
      </c>
      <c r="C241" s="6" t="s">
        <v>24</v>
      </c>
      <c r="D241" s="6" t="s">
        <v>666</v>
      </c>
      <c r="E241" s="15" t="s">
        <v>667</v>
      </c>
      <c r="F241" s="15" t="s">
        <v>666</v>
      </c>
      <c r="G241" s="16" t="s">
        <v>589</v>
      </c>
      <c r="H241" s="16" t="s">
        <v>36</v>
      </c>
      <c r="I241" s="16" t="s">
        <v>51</v>
      </c>
      <c r="J241" s="15" t="s">
        <v>51</v>
      </c>
      <c r="K241" s="15" t="s">
        <v>51</v>
      </c>
      <c r="L241" s="15"/>
      <c r="M241" s="1"/>
      <c r="N241" s="1"/>
      <c r="O241" s="1"/>
      <c r="P241" s="1"/>
      <c r="Q241" s="1"/>
      <c r="R241" s="1"/>
      <c r="S241" s="1"/>
      <c r="T241" s="1"/>
      <c r="U241" s="1"/>
      <c r="V241" s="1"/>
      <c r="W241" s="1"/>
      <c r="X241" s="1"/>
      <c r="Y241" s="1"/>
      <c r="Z241" s="1"/>
      <c r="AA241" s="1"/>
      <c r="AB241" s="1"/>
    </row>
    <row r="242" spans="1:28" ht="14.25" customHeight="1" x14ac:dyDescent="0.2">
      <c r="A242" s="72"/>
      <c r="B242" s="17">
        <v>241</v>
      </c>
      <c r="C242" s="6" t="s">
        <v>24</v>
      </c>
      <c r="D242" s="6" t="s">
        <v>668</v>
      </c>
      <c r="E242" s="15" t="s">
        <v>669</v>
      </c>
      <c r="F242" s="15" t="s">
        <v>670</v>
      </c>
      <c r="G242" s="16" t="s">
        <v>589</v>
      </c>
      <c r="H242" s="16" t="s">
        <v>51</v>
      </c>
      <c r="I242" s="16" t="s">
        <v>52</v>
      </c>
      <c r="J242" s="15" t="s">
        <v>51</v>
      </c>
      <c r="K242" s="15" t="s">
        <v>52</v>
      </c>
      <c r="L242" s="19">
        <v>1445</v>
      </c>
      <c r="M242" s="1"/>
      <c r="N242" s="1"/>
      <c r="O242" s="1"/>
      <c r="P242" s="1"/>
      <c r="Q242" s="1"/>
      <c r="R242" s="1"/>
      <c r="S242" s="1"/>
      <c r="T242" s="1"/>
      <c r="U242" s="1"/>
      <c r="V242" s="1"/>
      <c r="W242" s="1"/>
      <c r="X242" s="1"/>
      <c r="Y242" s="1"/>
      <c r="Z242" s="1"/>
      <c r="AA242" s="1"/>
      <c r="AB242" s="1"/>
    </row>
    <row r="243" spans="1:28" ht="38.25" customHeight="1" x14ac:dyDescent="0.2">
      <c r="A243" s="72"/>
      <c r="B243" s="17">
        <v>242</v>
      </c>
      <c r="C243" s="6" t="s">
        <v>24</v>
      </c>
      <c r="D243" s="6" t="s">
        <v>671</v>
      </c>
      <c r="E243" s="15" t="s">
        <v>672</v>
      </c>
      <c r="F243" s="15" t="s">
        <v>671</v>
      </c>
      <c r="G243" s="16" t="s">
        <v>589</v>
      </c>
      <c r="H243" s="16" t="s">
        <v>36</v>
      </c>
      <c r="I243" s="16" t="s">
        <v>51</v>
      </c>
      <c r="J243" s="15" t="s">
        <v>36</v>
      </c>
      <c r="K243" s="15" t="s">
        <v>51</v>
      </c>
      <c r="L243" s="15"/>
      <c r="M243" s="1"/>
      <c r="N243" s="1"/>
      <c r="O243" s="1"/>
      <c r="P243" s="1"/>
      <c r="Q243" s="1"/>
      <c r="R243" s="1"/>
      <c r="S243" s="1"/>
      <c r="T243" s="1"/>
      <c r="U243" s="1"/>
      <c r="V243" s="1"/>
      <c r="W243" s="1"/>
      <c r="X243" s="1"/>
      <c r="Y243" s="1"/>
      <c r="Z243" s="1"/>
      <c r="AA243" s="1"/>
      <c r="AB243" s="1"/>
    </row>
    <row r="244" spans="1:28" ht="14.25" customHeight="1" x14ac:dyDescent="0.2">
      <c r="A244" s="72"/>
      <c r="B244" s="17">
        <v>243</v>
      </c>
      <c r="C244" s="6" t="s">
        <v>24</v>
      </c>
      <c r="D244" s="6" t="s">
        <v>673</v>
      </c>
      <c r="E244" s="15" t="s">
        <v>674</v>
      </c>
      <c r="F244" s="15" t="s">
        <v>675</v>
      </c>
      <c r="G244" s="16" t="s">
        <v>589</v>
      </c>
      <c r="H244" s="16" t="s">
        <v>51</v>
      </c>
      <c r="I244" s="16" t="s">
        <v>52</v>
      </c>
      <c r="J244" s="15" t="s">
        <v>51</v>
      </c>
      <c r="K244" s="15" t="s">
        <v>52</v>
      </c>
      <c r="L244" s="19">
        <v>2664</v>
      </c>
      <c r="M244" s="1"/>
      <c r="N244" s="1"/>
      <c r="O244" s="1"/>
      <c r="P244" s="1"/>
      <c r="Q244" s="1"/>
      <c r="R244" s="1"/>
      <c r="S244" s="1"/>
      <c r="T244" s="1"/>
      <c r="U244" s="1"/>
      <c r="V244" s="1"/>
      <c r="W244" s="1"/>
      <c r="X244" s="1"/>
      <c r="Y244" s="1"/>
      <c r="Z244" s="1"/>
      <c r="AA244" s="1"/>
      <c r="AB244" s="1"/>
    </row>
    <row r="245" spans="1:28" ht="14.25" customHeight="1" x14ac:dyDescent="0.2">
      <c r="A245" s="72"/>
      <c r="B245" s="17">
        <v>244</v>
      </c>
      <c r="C245" s="6" t="s">
        <v>24</v>
      </c>
      <c r="D245" s="6" t="s">
        <v>676</v>
      </c>
      <c r="E245" s="15" t="s">
        <v>677</v>
      </c>
      <c r="F245" s="15" t="s">
        <v>678</v>
      </c>
      <c r="G245" s="16" t="s">
        <v>589</v>
      </c>
      <c r="H245" s="16" t="s">
        <v>51</v>
      </c>
      <c r="I245" s="16" t="s">
        <v>52</v>
      </c>
      <c r="J245" s="15" t="s">
        <v>51</v>
      </c>
      <c r="K245" s="15" t="s">
        <v>52</v>
      </c>
      <c r="L245" s="15" t="s">
        <v>602</v>
      </c>
      <c r="M245" s="1"/>
      <c r="N245" s="1"/>
      <c r="O245" s="1"/>
      <c r="P245" s="1"/>
      <c r="Q245" s="1"/>
      <c r="R245" s="1"/>
      <c r="S245" s="1"/>
      <c r="T245" s="1"/>
      <c r="U245" s="1"/>
      <c r="V245" s="1"/>
      <c r="W245" s="1"/>
      <c r="X245" s="1"/>
      <c r="Y245" s="1"/>
      <c r="Z245" s="1"/>
      <c r="AA245" s="1"/>
      <c r="AB245" s="1"/>
    </row>
    <row r="246" spans="1:28" ht="14.25" customHeight="1" x14ac:dyDescent="0.2">
      <c r="A246" s="72"/>
      <c r="B246" s="17">
        <v>245</v>
      </c>
      <c r="C246" s="6" t="s">
        <v>24</v>
      </c>
      <c r="D246" s="18" t="s">
        <v>679</v>
      </c>
      <c r="E246" s="15" t="s">
        <v>680</v>
      </c>
      <c r="F246" s="15" t="s">
        <v>681</v>
      </c>
      <c r="G246" s="16" t="s">
        <v>589</v>
      </c>
      <c r="H246" s="16" t="s">
        <v>51</v>
      </c>
      <c r="I246" s="16" t="s">
        <v>52</v>
      </c>
      <c r="J246" s="15" t="s">
        <v>51</v>
      </c>
      <c r="K246" s="15" t="s">
        <v>52</v>
      </c>
      <c r="L246" s="15" t="s">
        <v>602</v>
      </c>
      <c r="M246" s="1"/>
      <c r="N246" s="1"/>
      <c r="O246" s="1"/>
      <c r="P246" s="1"/>
      <c r="Q246" s="1"/>
      <c r="R246" s="1"/>
      <c r="S246" s="1"/>
      <c r="T246" s="1"/>
      <c r="U246" s="1"/>
      <c r="V246" s="1"/>
      <c r="W246" s="1"/>
      <c r="X246" s="1"/>
      <c r="Y246" s="1"/>
      <c r="Z246" s="1"/>
      <c r="AA246" s="1"/>
      <c r="AB246" s="1"/>
    </row>
    <row r="247" spans="1:28" ht="14.25" customHeight="1" x14ac:dyDescent="0.2">
      <c r="A247" s="72"/>
      <c r="B247" s="17">
        <v>246</v>
      </c>
      <c r="C247" s="6" t="s">
        <v>24</v>
      </c>
      <c r="D247" s="6" t="s">
        <v>682</v>
      </c>
      <c r="E247" s="15" t="s">
        <v>683</v>
      </c>
      <c r="F247" s="15" t="s">
        <v>684</v>
      </c>
      <c r="G247" s="16" t="s">
        <v>589</v>
      </c>
      <c r="H247" s="16" t="s">
        <v>51</v>
      </c>
      <c r="I247" s="16" t="s">
        <v>52</v>
      </c>
      <c r="J247" s="15" t="s">
        <v>51</v>
      </c>
      <c r="K247" s="15" t="s">
        <v>52</v>
      </c>
      <c r="L247" s="19">
        <v>1979</v>
      </c>
      <c r="M247" s="1"/>
      <c r="N247" s="1"/>
      <c r="O247" s="1"/>
      <c r="P247" s="1"/>
      <c r="Q247" s="1"/>
      <c r="R247" s="1"/>
      <c r="S247" s="1"/>
      <c r="T247" s="1"/>
      <c r="U247" s="1"/>
      <c r="V247" s="1"/>
      <c r="W247" s="1"/>
      <c r="X247" s="1"/>
      <c r="Y247" s="1"/>
      <c r="Z247" s="1"/>
      <c r="AA247" s="1"/>
      <c r="AB247" s="1"/>
    </row>
    <row r="248" spans="1:28" ht="14.25" customHeight="1" x14ac:dyDescent="0.2">
      <c r="A248" s="72"/>
      <c r="B248" s="17">
        <v>247</v>
      </c>
      <c r="C248" s="6" t="s">
        <v>24</v>
      </c>
      <c r="D248" s="6" t="s">
        <v>685</v>
      </c>
      <c r="E248" s="15" t="s">
        <v>686</v>
      </c>
      <c r="F248" s="15" t="s">
        <v>685</v>
      </c>
      <c r="G248" s="16" t="s">
        <v>65</v>
      </c>
      <c r="H248" s="16" t="s">
        <v>36</v>
      </c>
      <c r="I248" s="16" t="s">
        <v>51</v>
      </c>
      <c r="J248" s="15" t="s">
        <v>51</v>
      </c>
      <c r="K248" s="15" t="s">
        <v>51</v>
      </c>
      <c r="L248" s="15"/>
      <c r="M248" s="1"/>
      <c r="N248" s="1"/>
      <c r="O248" s="1"/>
      <c r="P248" s="1"/>
      <c r="Q248" s="1"/>
      <c r="R248" s="1"/>
      <c r="S248" s="1"/>
      <c r="T248" s="1"/>
      <c r="U248" s="1"/>
      <c r="V248" s="1"/>
      <c r="W248" s="1"/>
      <c r="X248" s="1"/>
      <c r="Y248" s="1"/>
      <c r="Z248" s="1"/>
      <c r="AA248" s="1"/>
      <c r="AB248" s="1"/>
    </row>
    <row r="249" spans="1:28" ht="14.25" customHeight="1" x14ac:dyDescent="0.2">
      <c r="A249" s="72"/>
      <c r="B249" s="17">
        <v>248</v>
      </c>
      <c r="C249" s="6" t="s">
        <v>24</v>
      </c>
      <c r="D249" s="6" t="s">
        <v>687</v>
      </c>
      <c r="E249" s="15" t="s">
        <v>688</v>
      </c>
      <c r="F249" s="15" t="s">
        <v>687</v>
      </c>
      <c r="G249" s="16" t="s">
        <v>589</v>
      </c>
      <c r="H249" s="16" t="s">
        <v>51</v>
      </c>
      <c r="I249" s="16" t="s">
        <v>52</v>
      </c>
      <c r="J249" s="15" t="s">
        <v>51</v>
      </c>
      <c r="K249" s="15" t="s">
        <v>52</v>
      </c>
      <c r="L249" s="15" t="s">
        <v>602</v>
      </c>
      <c r="M249" s="1"/>
      <c r="N249" s="1"/>
      <c r="O249" s="1"/>
      <c r="P249" s="1"/>
      <c r="Q249" s="1"/>
      <c r="R249" s="1"/>
      <c r="S249" s="1"/>
      <c r="T249" s="1"/>
      <c r="U249" s="1"/>
      <c r="V249" s="1"/>
      <c r="W249" s="1"/>
      <c r="X249" s="1"/>
      <c r="Y249" s="1"/>
      <c r="Z249" s="1"/>
      <c r="AA249" s="1"/>
      <c r="AB249" s="1"/>
    </row>
    <row r="250" spans="1:28" ht="14.25" customHeight="1" x14ac:dyDescent="0.2">
      <c r="A250" s="72"/>
      <c r="B250" s="17">
        <v>249</v>
      </c>
      <c r="C250" s="6" t="s">
        <v>24</v>
      </c>
      <c r="D250" s="6" t="s">
        <v>689</v>
      </c>
      <c r="E250" s="15" t="s">
        <v>690</v>
      </c>
      <c r="F250" s="15" t="s">
        <v>691</v>
      </c>
      <c r="G250" s="16" t="s">
        <v>65</v>
      </c>
      <c r="H250" s="16" t="s">
        <v>36</v>
      </c>
      <c r="I250" s="16" t="s">
        <v>51</v>
      </c>
      <c r="J250" s="15" t="s">
        <v>51</v>
      </c>
      <c r="K250" s="15" t="s">
        <v>51</v>
      </c>
      <c r="L250" s="15"/>
      <c r="M250" s="1"/>
      <c r="N250" s="1"/>
      <c r="O250" s="1"/>
      <c r="P250" s="1"/>
      <c r="Q250" s="1"/>
      <c r="R250" s="1"/>
      <c r="S250" s="1"/>
      <c r="T250" s="1"/>
      <c r="U250" s="1"/>
      <c r="V250" s="1"/>
      <c r="W250" s="1"/>
      <c r="X250" s="1"/>
      <c r="Y250" s="1"/>
      <c r="Z250" s="1"/>
      <c r="AA250" s="1"/>
      <c r="AB250" s="1"/>
    </row>
    <row r="251" spans="1:28" ht="14.25" customHeight="1" x14ac:dyDescent="0.2">
      <c r="A251" s="72"/>
      <c r="B251" s="17">
        <v>250</v>
      </c>
      <c r="C251" s="6" t="s">
        <v>24</v>
      </c>
      <c r="D251" s="6" t="s">
        <v>692</v>
      </c>
      <c r="E251" s="15" t="s">
        <v>693</v>
      </c>
      <c r="F251" s="15" t="s">
        <v>694</v>
      </c>
      <c r="G251" s="16" t="s">
        <v>589</v>
      </c>
      <c r="H251" s="16" t="s">
        <v>51</v>
      </c>
      <c r="I251" s="16" t="s">
        <v>52</v>
      </c>
      <c r="J251" s="15" t="s">
        <v>51</v>
      </c>
      <c r="K251" s="15" t="s">
        <v>52</v>
      </c>
      <c r="L251" s="15"/>
      <c r="M251" s="1"/>
      <c r="N251" s="1"/>
      <c r="O251" s="1"/>
      <c r="P251" s="1"/>
      <c r="Q251" s="1"/>
      <c r="R251" s="1"/>
      <c r="S251" s="1"/>
      <c r="T251" s="1"/>
      <c r="U251" s="1"/>
      <c r="V251" s="1"/>
      <c r="W251" s="1"/>
      <c r="X251" s="1"/>
      <c r="Y251" s="1"/>
      <c r="Z251" s="1"/>
      <c r="AA251" s="1"/>
      <c r="AB251" s="1"/>
    </row>
    <row r="252" spans="1:28" ht="14.25" customHeight="1" x14ac:dyDescent="0.2">
      <c r="A252" s="72"/>
      <c r="B252" s="17">
        <v>251</v>
      </c>
      <c r="C252" s="6" t="s">
        <v>24</v>
      </c>
      <c r="D252" s="6" t="s">
        <v>695</v>
      </c>
      <c r="E252" s="15" t="s">
        <v>696</v>
      </c>
      <c r="F252" s="15" t="s">
        <v>695</v>
      </c>
      <c r="G252" s="16" t="s">
        <v>65</v>
      </c>
      <c r="H252" s="16" t="s">
        <v>36</v>
      </c>
      <c r="I252" s="16" t="s">
        <v>51</v>
      </c>
      <c r="J252" s="15" t="s">
        <v>51</v>
      </c>
      <c r="K252" s="15" t="s">
        <v>51</v>
      </c>
      <c r="L252" s="15"/>
      <c r="M252" s="1"/>
      <c r="N252" s="1"/>
      <c r="O252" s="1"/>
      <c r="P252" s="1"/>
      <c r="Q252" s="1"/>
      <c r="R252" s="1"/>
      <c r="S252" s="1"/>
      <c r="T252" s="1"/>
      <c r="U252" s="1"/>
      <c r="V252" s="1"/>
      <c r="W252" s="1"/>
      <c r="X252" s="1"/>
      <c r="Y252" s="1"/>
      <c r="Z252" s="1"/>
      <c r="AA252" s="1"/>
      <c r="AB252" s="1"/>
    </row>
    <row r="253" spans="1:28" ht="14.25" customHeight="1" x14ac:dyDescent="0.2">
      <c r="A253" s="72"/>
      <c r="B253" s="17">
        <v>252</v>
      </c>
      <c r="C253" s="6" t="s">
        <v>24</v>
      </c>
      <c r="D253" s="6" t="s">
        <v>697</v>
      </c>
      <c r="E253" s="15" t="s">
        <v>698</v>
      </c>
      <c r="F253" s="15" t="s">
        <v>699</v>
      </c>
      <c r="G253" s="16" t="s">
        <v>589</v>
      </c>
      <c r="H253" s="16" t="s">
        <v>51</v>
      </c>
      <c r="I253" s="16" t="s">
        <v>52</v>
      </c>
      <c r="J253" s="15" t="s">
        <v>51</v>
      </c>
      <c r="K253" s="15" t="s">
        <v>52</v>
      </c>
      <c r="L253" s="15"/>
      <c r="M253" s="1"/>
      <c r="N253" s="1"/>
      <c r="O253" s="1"/>
      <c r="P253" s="1"/>
      <c r="Q253" s="1"/>
      <c r="R253" s="1"/>
      <c r="S253" s="1"/>
      <c r="T253" s="1"/>
      <c r="U253" s="1"/>
      <c r="V253" s="1"/>
      <c r="W253" s="1"/>
      <c r="X253" s="1"/>
      <c r="Y253" s="1"/>
      <c r="Z253" s="1"/>
      <c r="AA253" s="1"/>
      <c r="AB253" s="1"/>
    </row>
    <row r="254" spans="1:28" ht="14.25" customHeight="1" x14ac:dyDescent="0.2">
      <c r="A254" s="72"/>
      <c r="B254" s="17">
        <v>253</v>
      </c>
      <c r="C254" s="6" t="s">
        <v>24</v>
      </c>
      <c r="D254" s="18" t="s">
        <v>700</v>
      </c>
      <c r="E254" s="15" t="s">
        <v>701</v>
      </c>
      <c r="F254" s="15" t="s">
        <v>702</v>
      </c>
      <c r="G254" s="16" t="s">
        <v>589</v>
      </c>
      <c r="H254" s="16" t="s">
        <v>51</v>
      </c>
      <c r="I254" s="16" t="s">
        <v>52</v>
      </c>
      <c r="J254" s="15" t="s">
        <v>51</v>
      </c>
      <c r="K254" s="15" t="s">
        <v>52</v>
      </c>
      <c r="L254" s="15"/>
      <c r="M254" s="1"/>
      <c r="N254" s="1"/>
      <c r="O254" s="1"/>
      <c r="P254" s="1"/>
      <c r="Q254" s="1"/>
      <c r="R254" s="1"/>
      <c r="S254" s="1"/>
      <c r="T254" s="1"/>
      <c r="U254" s="1"/>
      <c r="V254" s="1"/>
      <c r="W254" s="1"/>
      <c r="X254" s="1"/>
      <c r="Y254" s="1"/>
      <c r="Z254" s="1"/>
      <c r="AA254" s="1"/>
      <c r="AB254" s="1"/>
    </row>
    <row r="255" spans="1:28" ht="14.25" customHeight="1" x14ac:dyDescent="0.2">
      <c r="A255" s="72"/>
      <c r="B255" s="17">
        <v>254</v>
      </c>
      <c r="C255" s="6" t="s">
        <v>24</v>
      </c>
      <c r="D255" s="6" t="s">
        <v>703</v>
      </c>
      <c r="E255" s="15" t="s">
        <v>704</v>
      </c>
      <c r="F255" s="15" t="s">
        <v>705</v>
      </c>
      <c r="G255" s="16" t="s">
        <v>589</v>
      </c>
      <c r="H255" s="16" t="s">
        <v>51</v>
      </c>
      <c r="I255" s="16" t="s">
        <v>52</v>
      </c>
      <c r="J255" s="15" t="s">
        <v>51</v>
      </c>
      <c r="K255" s="15" t="s">
        <v>52</v>
      </c>
      <c r="L255" s="15" t="s">
        <v>602</v>
      </c>
      <c r="M255" s="1"/>
      <c r="N255" s="1"/>
      <c r="O255" s="1"/>
      <c r="P255" s="1"/>
      <c r="Q255" s="1"/>
      <c r="R255" s="1"/>
      <c r="S255" s="1"/>
      <c r="T255" s="1"/>
      <c r="U255" s="1"/>
      <c r="V255" s="1"/>
      <c r="W255" s="1"/>
      <c r="X255" s="1"/>
      <c r="Y255" s="1"/>
      <c r="Z255" s="1"/>
      <c r="AA255" s="1"/>
      <c r="AB255" s="1"/>
    </row>
    <row r="256" spans="1:28" ht="14.25" customHeight="1" x14ac:dyDescent="0.2">
      <c r="A256" s="72"/>
      <c r="B256" s="17">
        <v>255</v>
      </c>
      <c r="C256" s="6" t="s">
        <v>24</v>
      </c>
      <c r="D256" s="6" t="s">
        <v>706</v>
      </c>
      <c r="E256" s="15" t="s">
        <v>707</v>
      </c>
      <c r="F256" s="15" t="s">
        <v>706</v>
      </c>
      <c r="G256" s="16" t="s">
        <v>589</v>
      </c>
      <c r="H256" s="16" t="s">
        <v>51</v>
      </c>
      <c r="I256" s="16" t="s">
        <v>52</v>
      </c>
      <c r="J256" s="15" t="s">
        <v>51</v>
      </c>
      <c r="K256" s="15" t="s">
        <v>52</v>
      </c>
      <c r="L256" s="15"/>
      <c r="M256" s="1"/>
      <c r="N256" s="1"/>
      <c r="O256" s="1"/>
      <c r="P256" s="1"/>
      <c r="Q256" s="1"/>
      <c r="R256" s="1"/>
      <c r="S256" s="1"/>
      <c r="T256" s="1"/>
      <c r="U256" s="1"/>
      <c r="V256" s="1"/>
      <c r="W256" s="1"/>
      <c r="X256" s="1"/>
      <c r="Y256" s="1"/>
      <c r="Z256" s="1"/>
      <c r="AA256" s="1"/>
      <c r="AB256" s="1"/>
    </row>
    <row r="257" spans="1:28" ht="160" x14ac:dyDescent="0.2">
      <c r="A257" s="72"/>
      <c r="B257" s="17">
        <v>256</v>
      </c>
      <c r="C257" s="6" t="s">
        <v>24</v>
      </c>
      <c r="D257" s="18" t="s">
        <v>708</v>
      </c>
      <c r="E257" s="15" t="s">
        <v>709</v>
      </c>
      <c r="F257" s="15" t="s">
        <v>710</v>
      </c>
      <c r="G257" s="16" t="s">
        <v>65</v>
      </c>
      <c r="H257" s="16" t="s">
        <v>51</v>
      </c>
      <c r="I257" s="16" t="s">
        <v>52</v>
      </c>
      <c r="J257" s="15" t="s">
        <v>51</v>
      </c>
      <c r="K257" s="15" t="s">
        <v>52</v>
      </c>
      <c r="L257" s="15"/>
      <c r="M257" s="1"/>
      <c r="N257" s="1"/>
      <c r="O257" s="1"/>
      <c r="P257" s="1"/>
      <c r="Q257" s="1"/>
      <c r="R257" s="1"/>
      <c r="S257" s="1"/>
      <c r="T257" s="1"/>
      <c r="U257" s="1"/>
      <c r="V257" s="1"/>
      <c r="W257" s="1"/>
      <c r="X257" s="1"/>
      <c r="Y257" s="1"/>
      <c r="Z257" s="1"/>
      <c r="AA257" s="1"/>
      <c r="AB257" s="1"/>
    </row>
    <row r="258" spans="1:28" ht="14.25" customHeight="1" x14ac:dyDescent="0.2">
      <c r="A258" s="72"/>
      <c r="B258" s="17">
        <v>257</v>
      </c>
      <c r="C258" s="6" t="s">
        <v>24</v>
      </c>
      <c r="D258" s="6" t="s">
        <v>711</v>
      </c>
      <c r="E258" s="15" t="s">
        <v>712</v>
      </c>
      <c r="F258" s="15" t="s">
        <v>711</v>
      </c>
      <c r="G258" s="16" t="s">
        <v>589</v>
      </c>
      <c r="H258" s="16" t="s">
        <v>51</v>
      </c>
      <c r="I258" s="16" t="s">
        <v>52</v>
      </c>
      <c r="J258" s="15" t="s">
        <v>51</v>
      </c>
      <c r="K258" s="15" t="s">
        <v>52</v>
      </c>
      <c r="L258" s="15" t="s">
        <v>602</v>
      </c>
      <c r="M258" s="1"/>
      <c r="N258" s="1"/>
      <c r="O258" s="1"/>
      <c r="P258" s="1"/>
      <c r="Q258" s="1"/>
      <c r="R258" s="1"/>
      <c r="S258" s="1"/>
      <c r="T258" s="1"/>
      <c r="U258" s="1"/>
      <c r="V258" s="1"/>
      <c r="W258" s="1"/>
      <c r="X258" s="1"/>
      <c r="Y258" s="1"/>
      <c r="Z258" s="1"/>
      <c r="AA258" s="1"/>
      <c r="AB258" s="1"/>
    </row>
    <row r="259" spans="1:28" ht="14.25" customHeight="1" x14ac:dyDescent="0.2">
      <c r="A259" s="72"/>
      <c r="B259" s="17">
        <v>258</v>
      </c>
      <c r="C259" s="6" t="s">
        <v>24</v>
      </c>
      <c r="D259" s="6" t="s">
        <v>713</v>
      </c>
      <c r="E259" s="15" t="s">
        <v>714</v>
      </c>
      <c r="F259" s="15" t="s">
        <v>713</v>
      </c>
      <c r="G259" s="16" t="s">
        <v>65</v>
      </c>
      <c r="H259" s="16" t="s">
        <v>36</v>
      </c>
      <c r="I259" s="16" t="s">
        <v>51</v>
      </c>
      <c r="J259" s="15" t="s">
        <v>51</v>
      </c>
      <c r="K259" s="15" t="s">
        <v>51</v>
      </c>
      <c r="L259" s="15"/>
      <c r="M259" s="1"/>
      <c r="N259" s="1"/>
      <c r="O259" s="1"/>
      <c r="P259" s="1"/>
      <c r="Q259" s="1"/>
      <c r="R259" s="1"/>
      <c r="S259" s="1"/>
      <c r="T259" s="1"/>
      <c r="U259" s="1"/>
      <c r="V259" s="1"/>
      <c r="W259" s="1"/>
      <c r="X259" s="1"/>
      <c r="Y259" s="1"/>
      <c r="Z259" s="1"/>
      <c r="AA259" s="1"/>
      <c r="AB259" s="1"/>
    </row>
    <row r="260" spans="1:28" ht="14.25" customHeight="1" x14ac:dyDescent="0.2">
      <c r="A260" s="72"/>
      <c r="B260" s="17">
        <v>259</v>
      </c>
      <c r="C260" s="6" t="s">
        <v>24</v>
      </c>
      <c r="D260" s="6" t="s">
        <v>715</v>
      </c>
      <c r="E260" s="15" t="s">
        <v>716</v>
      </c>
      <c r="F260" s="15" t="s">
        <v>717</v>
      </c>
      <c r="G260" s="16" t="s">
        <v>589</v>
      </c>
      <c r="H260" s="16" t="s">
        <v>51</v>
      </c>
      <c r="I260" s="16" t="s">
        <v>52</v>
      </c>
      <c r="J260" s="15" t="s">
        <v>51</v>
      </c>
      <c r="K260" s="15" t="s">
        <v>52</v>
      </c>
      <c r="L260" s="15" t="s">
        <v>602</v>
      </c>
      <c r="M260" s="1"/>
      <c r="N260" s="1"/>
      <c r="O260" s="1"/>
      <c r="P260" s="1"/>
      <c r="Q260" s="1"/>
      <c r="R260" s="1"/>
      <c r="S260" s="1"/>
      <c r="T260" s="1"/>
      <c r="U260" s="1"/>
      <c r="V260" s="1"/>
      <c r="W260" s="1"/>
      <c r="X260" s="1"/>
      <c r="Y260" s="1"/>
      <c r="Z260" s="1"/>
      <c r="AA260" s="1"/>
      <c r="AB260" s="1"/>
    </row>
    <row r="261" spans="1:28" ht="14.25" customHeight="1" x14ac:dyDescent="0.2">
      <c r="A261" s="72"/>
      <c r="B261" s="17">
        <v>260</v>
      </c>
      <c r="C261" s="6" t="s">
        <v>24</v>
      </c>
      <c r="D261" s="6" t="s">
        <v>718</v>
      </c>
      <c r="E261" s="15" t="s">
        <v>719</v>
      </c>
      <c r="F261" s="15" t="s">
        <v>718</v>
      </c>
      <c r="G261" s="16" t="s">
        <v>65</v>
      </c>
      <c r="H261" s="16" t="s">
        <v>36</v>
      </c>
      <c r="I261" s="16" t="s">
        <v>51</v>
      </c>
      <c r="J261" s="15" t="s">
        <v>51</v>
      </c>
      <c r="K261" s="15" t="s">
        <v>51</v>
      </c>
      <c r="L261" s="15"/>
      <c r="M261" s="1"/>
      <c r="N261" s="1"/>
      <c r="O261" s="1"/>
      <c r="P261" s="1"/>
      <c r="Q261" s="1"/>
      <c r="R261" s="1"/>
      <c r="S261" s="1"/>
      <c r="T261" s="1"/>
      <c r="U261" s="1"/>
      <c r="V261" s="1"/>
      <c r="W261" s="1"/>
      <c r="X261" s="1"/>
      <c r="Y261" s="1"/>
      <c r="Z261" s="1"/>
      <c r="AA261" s="1"/>
      <c r="AB261" s="1"/>
    </row>
    <row r="262" spans="1:28" ht="14.25" customHeight="1" x14ac:dyDescent="0.2">
      <c r="A262" s="72"/>
      <c r="B262" s="17">
        <v>261</v>
      </c>
      <c r="C262" s="6" t="s">
        <v>24</v>
      </c>
      <c r="D262" s="6" t="s">
        <v>720</v>
      </c>
      <c r="E262" s="15" t="s">
        <v>721</v>
      </c>
      <c r="F262" s="15" t="s">
        <v>720</v>
      </c>
      <c r="G262" s="16" t="s">
        <v>65</v>
      </c>
      <c r="H262" s="16" t="s">
        <v>36</v>
      </c>
      <c r="I262" s="16" t="s">
        <v>51</v>
      </c>
      <c r="J262" s="15" t="s">
        <v>51</v>
      </c>
      <c r="K262" s="15" t="s">
        <v>51</v>
      </c>
      <c r="L262" s="15"/>
      <c r="M262" s="1"/>
      <c r="N262" s="1"/>
      <c r="O262" s="1"/>
      <c r="P262" s="1"/>
      <c r="Q262" s="1"/>
      <c r="R262" s="1"/>
      <c r="S262" s="1"/>
      <c r="T262" s="1"/>
      <c r="U262" s="1"/>
      <c r="V262" s="1"/>
      <c r="W262" s="1"/>
      <c r="X262" s="1"/>
      <c r="Y262" s="1"/>
      <c r="Z262" s="1"/>
      <c r="AA262" s="1"/>
      <c r="AB262" s="1"/>
    </row>
    <row r="263" spans="1:28" ht="16" x14ac:dyDescent="0.2">
      <c r="A263" s="72"/>
      <c r="B263" s="17">
        <v>262</v>
      </c>
      <c r="C263" s="6" t="s">
        <v>24</v>
      </c>
      <c r="D263" s="18" t="s">
        <v>722</v>
      </c>
      <c r="E263" s="15" t="s">
        <v>723</v>
      </c>
      <c r="F263" s="15" t="s">
        <v>724</v>
      </c>
      <c r="G263" s="16" t="s">
        <v>589</v>
      </c>
      <c r="H263" s="16" t="s">
        <v>36</v>
      </c>
      <c r="I263" s="16" t="s">
        <v>51</v>
      </c>
      <c r="J263" s="15" t="s">
        <v>51</v>
      </c>
      <c r="K263" s="15" t="s">
        <v>51</v>
      </c>
      <c r="L263" s="15"/>
      <c r="M263" s="1"/>
      <c r="N263" s="1"/>
      <c r="O263" s="1"/>
      <c r="P263" s="1"/>
      <c r="Q263" s="1"/>
      <c r="R263" s="1"/>
      <c r="S263" s="1"/>
      <c r="T263" s="1"/>
      <c r="U263" s="1"/>
      <c r="V263" s="1"/>
      <c r="W263" s="1"/>
      <c r="X263" s="1"/>
      <c r="Y263" s="1"/>
      <c r="Z263" s="1"/>
      <c r="AA263" s="1"/>
      <c r="AB263" s="1"/>
    </row>
    <row r="264" spans="1:28" ht="32" x14ac:dyDescent="0.2">
      <c r="A264" s="72"/>
      <c r="B264" s="17">
        <v>263</v>
      </c>
      <c r="C264" s="6" t="s">
        <v>24</v>
      </c>
      <c r="D264" s="18" t="s">
        <v>725</v>
      </c>
      <c r="E264" s="15" t="s">
        <v>726</v>
      </c>
      <c r="F264" s="15" t="s">
        <v>727</v>
      </c>
      <c r="G264" s="16" t="s">
        <v>65</v>
      </c>
      <c r="H264" s="16" t="s">
        <v>36</v>
      </c>
      <c r="I264" s="16" t="s">
        <v>51</v>
      </c>
      <c r="J264" s="15" t="s">
        <v>51</v>
      </c>
      <c r="K264" s="15" t="s">
        <v>51</v>
      </c>
      <c r="L264" s="15"/>
      <c r="M264" s="1"/>
      <c r="N264" s="1"/>
      <c r="O264" s="1"/>
      <c r="P264" s="1"/>
      <c r="Q264" s="1"/>
      <c r="R264" s="1"/>
      <c r="S264" s="1"/>
      <c r="T264" s="1"/>
      <c r="U264" s="1"/>
      <c r="V264" s="1"/>
      <c r="W264" s="1"/>
      <c r="X264" s="1"/>
      <c r="Y264" s="1"/>
      <c r="Z264" s="1"/>
      <c r="AA264" s="1"/>
      <c r="AB264" s="1"/>
    </row>
    <row r="265" spans="1:28" ht="14.25" customHeight="1" x14ac:dyDescent="0.2">
      <c r="A265" s="72"/>
      <c r="B265" s="17">
        <v>264</v>
      </c>
      <c r="C265" s="6" t="s">
        <v>24</v>
      </c>
      <c r="D265" s="6" t="s">
        <v>728</v>
      </c>
      <c r="E265" s="15" t="s">
        <v>729</v>
      </c>
      <c r="F265" s="15" t="s">
        <v>728</v>
      </c>
      <c r="G265" s="16" t="s">
        <v>65</v>
      </c>
      <c r="H265" s="16" t="s">
        <v>36</v>
      </c>
      <c r="I265" s="16" t="s">
        <v>51</v>
      </c>
      <c r="J265" s="15" t="s">
        <v>51</v>
      </c>
      <c r="K265" s="15" t="s">
        <v>51</v>
      </c>
      <c r="L265" s="15"/>
      <c r="M265" s="1"/>
      <c r="N265" s="1"/>
      <c r="O265" s="1"/>
      <c r="P265" s="1"/>
      <c r="Q265" s="1"/>
      <c r="R265" s="1"/>
      <c r="S265" s="1"/>
      <c r="T265" s="1"/>
      <c r="U265" s="1"/>
      <c r="V265" s="1"/>
      <c r="W265" s="1"/>
      <c r="X265" s="1"/>
      <c r="Y265" s="1"/>
      <c r="Z265" s="1"/>
      <c r="AA265" s="1"/>
      <c r="AB265" s="1"/>
    </row>
    <row r="266" spans="1:28" ht="14.25" customHeight="1" x14ac:dyDescent="0.2">
      <c r="A266" s="72"/>
      <c r="B266" s="17">
        <v>265</v>
      </c>
      <c r="C266" s="6" t="s">
        <v>24</v>
      </c>
      <c r="D266" s="6" t="s">
        <v>730</v>
      </c>
      <c r="E266" s="15" t="s">
        <v>731</v>
      </c>
      <c r="F266" s="15" t="s">
        <v>730</v>
      </c>
      <c r="G266" s="16" t="s">
        <v>65</v>
      </c>
      <c r="H266" s="16" t="s">
        <v>36</v>
      </c>
      <c r="I266" s="16" t="s">
        <v>51</v>
      </c>
      <c r="J266" s="15" t="s">
        <v>51</v>
      </c>
      <c r="K266" s="15" t="s">
        <v>51</v>
      </c>
      <c r="L266" s="15" t="s">
        <v>66</v>
      </c>
      <c r="M266" s="1"/>
      <c r="N266" s="1"/>
      <c r="O266" s="1"/>
      <c r="P266" s="1"/>
      <c r="Q266" s="1"/>
      <c r="R266" s="1"/>
      <c r="S266" s="1"/>
      <c r="T266" s="1"/>
      <c r="U266" s="1"/>
      <c r="V266" s="1"/>
      <c r="W266" s="1"/>
      <c r="X266" s="1"/>
      <c r="Y266" s="1"/>
      <c r="Z266" s="1"/>
      <c r="AA266" s="1"/>
      <c r="AB266" s="1"/>
    </row>
    <row r="267" spans="1:28" ht="14.25" customHeight="1" x14ac:dyDescent="0.2">
      <c r="A267" s="72"/>
      <c r="B267" s="17">
        <v>266</v>
      </c>
      <c r="C267" s="6" t="s">
        <v>24</v>
      </c>
      <c r="D267" s="6" t="s">
        <v>732</v>
      </c>
      <c r="E267" s="15" t="s">
        <v>733</v>
      </c>
      <c r="F267" s="15" t="s">
        <v>734</v>
      </c>
      <c r="G267" s="16" t="s">
        <v>65</v>
      </c>
      <c r="H267" s="16" t="s">
        <v>36</v>
      </c>
      <c r="I267" s="16" t="s">
        <v>51</v>
      </c>
      <c r="J267" s="15" t="s">
        <v>51</v>
      </c>
      <c r="K267" s="15" t="s">
        <v>51</v>
      </c>
      <c r="L267" s="15"/>
      <c r="M267" s="1"/>
      <c r="N267" s="1"/>
      <c r="O267" s="1"/>
      <c r="P267" s="1"/>
      <c r="Q267" s="1"/>
      <c r="R267" s="1"/>
      <c r="S267" s="1"/>
      <c r="T267" s="1"/>
      <c r="U267" s="1"/>
      <c r="V267" s="1"/>
      <c r="W267" s="1"/>
      <c r="X267" s="1"/>
      <c r="Y267" s="1"/>
      <c r="Z267" s="1"/>
      <c r="AA267" s="1"/>
      <c r="AB267" s="1"/>
    </row>
    <row r="268" spans="1:28" ht="14.25" customHeight="1" x14ac:dyDescent="0.2">
      <c r="A268" s="72"/>
      <c r="B268" s="17">
        <v>267</v>
      </c>
      <c r="C268" s="6" t="s">
        <v>24</v>
      </c>
      <c r="D268" s="6" t="s">
        <v>735</v>
      </c>
      <c r="E268" s="15" t="s">
        <v>736</v>
      </c>
      <c r="F268" s="15" t="s">
        <v>737</v>
      </c>
      <c r="G268" s="16" t="s">
        <v>65</v>
      </c>
      <c r="H268" s="16" t="s">
        <v>36</v>
      </c>
      <c r="I268" s="16" t="s">
        <v>51</v>
      </c>
      <c r="J268" s="15" t="s">
        <v>51</v>
      </c>
      <c r="K268" s="15" t="s">
        <v>51</v>
      </c>
      <c r="L268" s="15"/>
      <c r="M268" s="1"/>
      <c r="N268" s="1"/>
      <c r="O268" s="1"/>
      <c r="P268" s="1"/>
      <c r="Q268" s="1"/>
      <c r="R268" s="1"/>
      <c r="S268" s="1"/>
      <c r="T268" s="1"/>
      <c r="U268" s="1"/>
      <c r="V268" s="1"/>
      <c r="W268" s="1"/>
      <c r="X268" s="1"/>
      <c r="Y268" s="1"/>
      <c r="Z268" s="1"/>
      <c r="AA268" s="1"/>
      <c r="AB268" s="1"/>
    </row>
    <row r="269" spans="1:28" ht="112" x14ac:dyDescent="0.2">
      <c r="A269" s="72"/>
      <c r="B269" s="17">
        <v>268</v>
      </c>
      <c r="C269" s="6" t="s">
        <v>24</v>
      </c>
      <c r="D269" s="18" t="s">
        <v>738</v>
      </c>
      <c r="E269" s="15" t="s">
        <v>739</v>
      </c>
      <c r="F269" s="15" t="s">
        <v>740</v>
      </c>
      <c r="G269" s="16" t="s">
        <v>589</v>
      </c>
      <c r="H269" s="16" t="s">
        <v>51</v>
      </c>
      <c r="I269" s="16" t="s">
        <v>52</v>
      </c>
      <c r="J269" s="15" t="s">
        <v>51</v>
      </c>
      <c r="K269" s="15" t="s">
        <v>52</v>
      </c>
      <c r="L269" s="15"/>
      <c r="M269" s="1"/>
      <c r="N269" s="1"/>
      <c r="O269" s="1"/>
      <c r="P269" s="1"/>
      <c r="Q269" s="1"/>
      <c r="R269" s="1"/>
      <c r="S269" s="1"/>
      <c r="T269" s="1"/>
      <c r="U269" s="1"/>
      <c r="V269" s="1"/>
      <c r="W269" s="1"/>
      <c r="X269" s="1"/>
      <c r="Y269" s="1"/>
      <c r="Z269" s="1"/>
      <c r="AA269" s="1"/>
      <c r="AB269" s="1"/>
    </row>
    <row r="270" spans="1:28" ht="14.25" customHeight="1" x14ac:dyDescent="0.2">
      <c r="A270" s="72"/>
      <c r="B270" s="17">
        <v>269</v>
      </c>
      <c r="C270" s="6" t="s">
        <v>24</v>
      </c>
      <c r="D270" s="6" t="s">
        <v>741</v>
      </c>
      <c r="E270" s="15" t="s">
        <v>742</v>
      </c>
      <c r="F270" s="15" t="s">
        <v>743</v>
      </c>
      <c r="G270" s="16" t="s">
        <v>589</v>
      </c>
      <c r="H270" s="16" t="s">
        <v>51</v>
      </c>
      <c r="I270" s="16" t="s">
        <v>52</v>
      </c>
      <c r="J270" s="15" t="s">
        <v>51</v>
      </c>
      <c r="K270" s="15" t="s">
        <v>52</v>
      </c>
      <c r="L270" s="15"/>
      <c r="M270" s="1"/>
      <c r="N270" s="1"/>
      <c r="O270" s="1"/>
      <c r="P270" s="1"/>
      <c r="Q270" s="1"/>
      <c r="R270" s="1"/>
      <c r="S270" s="1"/>
      <c r="T270" s="1"/>
      <c r="U270" s="1"/>
      <c r="V270" s="1"/>
      <c r="W270" s="1"/>
      <c r="X270" s="1"/>
      <c r="Y270" s="1"/>
      <c r="Z270" s="1"/>
      <c r="AA270" s="1"/>
      <c r="AB270" s="1"/>
    </row>
    <row r="271" spans="1:28" ht="14.25" customHeight="1" x14ac:dyDescent="0.2">
      <c r="A271" s="72"/>
      <c r="B271" s="17">
        <v>270</v>
      </c>
      <c r="C271" s="6" t="s">
        <v>24</v>
      </c>
      <c r="D271" s="6" t="s">
        <v>744</v>
      </c>
      <c r="E271" s="15" t="s">
        <v>745</v>
      </c>
      <c r="F271" s="15" t="s">
        <v>744</v>
      </c>
      <c r="G271" s="16" t="s">
        <v>65</v>
      </c>
      <c r="H271" s="16" t="s">
        <v>36</v>
      </c>
      <c r="I271" s="16" t="s">
        <v>51</v>
      </c>
      <c r="J271" s="15" t="s">
        <v>51</v>
      </c>
      <c r="K271" s="15" t="s">
        <v>51</v>
      </c>
      <c r="L271" s="15"/>
      <c r="M271" s="1"/>
      <c r="N271" s="1"/>
      <c r="O271" s="1"/>
      <c r="P271" s="1"/>
      <c r="Q271" s="1"/>
      <c r="R271" s="1"/>
      <c r="S271" s="1"/>
      <c r="T271" s="1"/>
      <c r="U271" s="1"/>
      <c r="V271" s="1"/>
      <c r="W271" s="1"/>
      <c r="X271" s="1"/>
      <c r="Y271" s="1"/>
      <c r="Z271" s="1"/>
      <c r="AA271" s="1"/>
      <c r="AB271" s="1"/>
    </row>
    <row r="272" spans="1:28" ht="14.25" customHeight="1" x14ac:dyDescent="0.2">
      <c r="A272" s="72"/>
      <c r="B272" s="17">
        <v>271</v>
      </c>
      <c r="C272" s="6" t="s">
        <v>24</v>
      </c>
      <c r="D272" s="6" t="s">
        <v>746</v>
      </c>
      <c r="E272" s="15" t="s">
        <v>747</v>
      </c>
      <c r="F272" s="15" t="s">
        <v>746</v>
      </c>
      <c r="G272" s="16" t="s">
        <v>589</v>
      </c>
      <c r="H272" s="16" t="s">
        <v>36</v>
      </c>
      <c r="I272" s="16" t="s">
        <v>51</v>
      </c>
      <c r="J272" s="15" t="s">
        <v>51</v>
      </c>
      <c r="K272" s="15" t="s">
        <v>51</v>
      </c>
      <c r="L272" s="15"/>
      <c r="M272" s="1"/>
      <c r="N272" s="1"/>
      <c r="O272" s="1"/>
      <c r="P272" s="1"/>
      <c r="Q272" s="1"/>
      <c r="R272" s="1"/>
      <c r="S272" s="1"/>
      <c r="T272" s="1"/>
      <c r="U272" s="1"/>
      <c r="V272" s="1"/>
      <c r="W272" s="1"/>
      <c r="X272" s="1"/>
      <c r="Y272" s="1"/>
      <c r="Z272" s="1"/>
      <c r="AA272" s="1"/>
      <c r="AB272" s="1"/>
    </row>
    <row r="273" spans="1:28" ht="14.25" customHeight="1" x14ac:dyDescent="0.2">
      <c r="A273" s="72"/>
      <c r="B273" s="17">
        <v>272</v>
      </c>
      <c r="C273" s="6" t="s">
        <v>24</v>
      </c>
      <c r="D273" s="6" t="s">
        <v>748</v>
      </c>
      <c r="E273" s="15" t="s">
        <v>749</v>
      </c>
      <c r="F273" s="15" t="s">
        <v>750</v>
      </c>
      <c r="G273" s="16" t="s">
        <v>589</v>
      </c>
      <c r="H273" s="16" t="s">
        <v>51</v>
      </c>
      <c r="I273" s="16" t="s">
        <v>52</v>
      </c>
      <c r="J273" s="15" t="s">
        <v>51</v>
      </c>
      <c r="K273" s="15" t="s">
        <v>52</v>
      </c>
      <c r="L273" s="15"/>
      <c r="M273" s="1"/>
      <c r="N273" s="1"/>
      <c r="O273" s="1"/>
      <c r="P273" s="1"/>
      <c r="Q273" s="1"/>
      <c r="R273" s="1"/>
      <c r="S273" s="1"/>
      <c r="T273" s="1"/>
      <c r="U273" s="1"/>
      <c r="V273" s="1"/>
      <c r="W273" s="1"/>
      <c r="X273" s="1"/>
      <c r="Y273" s="1"/>
      <c r="Z273" s="1"/>
      <c r="AA273" s="1"/>
      <c r="AB273" s="1"/>
    </row>
    <row r="274" spans="1:28" ht="14.25" customHeight="1" x14ac:dyDescent="0.2">
      <c r="A274" s="72"/>
      <c r="B274" s="17">
        <v>273</v>
      </c>
      <c r="C274" s="6" t="s">
        <v>24</v>
      </c>
      <c r="D274" s="6" t="s">
        <v>751</v>
      </c>
      <c r="E274" s="15" t="s">
        <v>752</v>
      </c>
      <c r="F274" s="15" t="s">
        <v>751</v>
      </c>
      <c r="G274" s="16" t="s">
        <v>65</v>
      </c>
      <c r="H274" s="16" t="s">
        <v>36</v>
      </c>
      <c r="I274" s="16" t="s">
        <v>51</v>
      </c>
      <c r="J274" s="15" t="s">
        <v>51</v>
      </c>
      <c r="K274" s="15" t="s">
        <v>51</v>
      </c>
      <c r="L274" s="15"/>
      <c r="M274" s="1"/>
      <c r="N274" s="1"/>
      <c r="O274" s="1"/>
      <c r="P274" s="1"/>
      <c r="Q274" s="1"/>
      <c r="R274" s="1"/>
      <c r="S274" s="1"/>
      <c r="T274" s="1"/>
      <c r="U274" s="1"/>
      <c r="V274" s="1"/>
      <c r="W274" s="1"/>
      <c r="X274" s="1"/>
      <c r="Y274" s="1"/>
      <c r="Z274" s="1"/>
      <c r="AA274" s="1"/>
      <c r="AB274" s="1"/>
    </row>
    <row r="275" spans="1:28" ht="14.25" customHeight="1" x14ac:dyDescent="0.2">
      <c r="A275" s="72"/>
      <c r="B275" s="17">
        <v>274</v>
      </c>
      <c r="C275" s="6" t="s">
        <v>24</v>
      </c>
      <c r="D275" s="6" t="s">
        <v>753</v>
      </c>
      <c r="E275" s="15" t="s">
        <v>754</v>
      </c>
      <c r="F275" s="15" t="s">
        <v>753</v>
      </c>
      <c r="G275" s="16" t="s">
        <v>65</v>
      </c>
      <c r="H275" s="16" t="s">
        <v>36</v>
      </c>
      <c r="I275" s="16" t="s">
        <v>51</v>
      </c>
      <c r="J275" s="15" t="s">
        <v>51</v>
      </c>
      <c r="K275" s="15" t="s">
        <v>51</v>
      </c>
      <c r="L275" s="15"/>
      <c r="M275" s="1"/>
      <c r="N275" s="1"/>
      <c r="O275" s="1"/>
      <c r="P275" s="1"/>
      <c r="Q275" s="1"/>
      <c r="R275" s="1"/>
      <c r="S275" s="1"/>
      <c r="T275" s="1"/>
      <c r="U275" s="1"/>
      <c r="V275" s="1"/>
      <c r="W275" s="1"/>
      <c r="X275" s="1"/>
      <c r="Y275" s="1"/>
      <c r="Z275" s="1"/>
      <c r="AA275" s="1"/>
      <c r="AB275" s="1"/>
    </row>
    <row r="276" spans="1:28" ht="14.25" customHeight="1" x14ac:dyDescent="0.2">
      <c r="A276" s="72"/>
      <c r="B276" s="17">
        <v>275</v>
      </c>
      <c r="C276" s="6" t="s">
        <v>24</v>
      </c>
      <c r="D276" s="6" t="s">
        <v>755</v>
      </c>
      <c r="E276" s="15" t="s">
        <v>756</v>
      </c>
      <c r="F276" s="15" t="s">
        <v>755</v>
      </c>
      <c r="G276" s="16" t="s">
        <v>65</v>
      </c>
      <c r="H276" s="16" t="s">
        <v>36</v>
      </c>
      <c r="I276" s="16" t="s">
        <v>51</v>
      </c>
      <c r="J276" s="15" t="s">
        <v>51</v>
      </c>
      <c r="K276" s="15" t="s">
        <v>51</v>
      </c>
      <c r="L276" s="15"/>
      <c r="M276" s="1"/>
      <c r="N276" s="1"/>
      <c r="O276" s="1"/>
      <c r="P276" s="1"/>
      <c r="Q276" s="1"/>
      <c r="R276" s="1"/>
      <c r="S276" s="1"/>
      <c r="T276" s="1"/>
      <c r="U276" s="1"/>
      <c r="V276" s="1"/>
      <c r="W276" s="1"/>
      <c r="X276" s="1"/>
      <c r="Y276" s="1"/>
      <c r="Z276" s="1"/>
      <c r="AA276" s="1"/>
      <c r="AB276" s="1"/>
    </row>
    <row r="277" spans="1:28" ht="96" x14ac:dyDescent="0.2">
      <c r="A277" s="72"/>
      <c r="B277" s="17">
        <v>276</v>
      </c>
      <c r="C277" s="6" t="s">
        <v>24</v>
      </c>
      <c r="D277" s="18" t="s">
        <v>757</v>
      </c>
      <c r="E277" s="15" t="s">
        <v>758</v>
      </c>
      <c r="F277" s="15" t="s">
        <v>759</v>
      </c>
      <c r="G277" s="16" t="s">
        <v>589</v>
      </c>
      <c r="H277" s="16" t="s">
        <v>51</v>
      </c>
      <c r="I277" s="16" t="s">
        <v>52</v>
      </c>
      <c r="J277" s="15" t="s">
        <v>51</v>
      </c>
      <c r="K277" s="15" t="s">
        <v>52</v>
      </c>
      <c r="L277" s="15"/>
      <c r="M277" s="1"/>
      <c r="N277" s="1"/>
      <c r="O277" s="1"/>
      <c r="P277" s="1"/>
      <c r="Q277" s="1"/>
      <c r="R277" s="1"/>
      <c r="S277" s="1"/>
      <c r="T277" s="1"/>
      <c r="U277" s="1"/>
      <c r="V277" s="1"/>
      <c r="W277" s="1"/>
      <c r="X277" s="1"/>
      <c r="Y277" s="1"/>
      <c r="Z277" s="1"/>
      <c r="AA277" s="1"/>
      <c r="AB277" s="1"/>
    </row>
    <row r="278" spans="1:28" ht="14.25" customHeight="1" x14ac:dyDescent="0.2">
      <c r="A278" s="72"/>
      <c r="B278" s="17">
        <v>277</v>
      </c>
      <c r="C278" s="6" t="s">
        <v>24</v>
      </c>
      <c r="D278" s="6" t="s">
        <v>760</v>
      </c>
      <c r="E278" s="15" t="s">
        <v>761</v>
      </c>
      <c r="F278" s="15" t="s">
        <v>760</v>
      </c>
      <c r="G278" s="16" t="s">
        <v>589</v>
      </c>
      <c r="H278" s="16" t="s">
        <v>51</v>
      </c>
      <c r="I278" s="16" t="s">
        <v>52</v>
      </c>
      <c r="J278" s="15" t="s">
        <v>51</v>
      </c>
      <c r="K278" s="15" t="s">
        <v>52</v>
      </c>
      <c r="L278" s="15"/>
      <c r="M278" s="1"/>
      <c r="N278" s="1"/>
      <c r="O278" s="1"/>
      <c r="P278" s="1"/>
      <c r="Q278" s="1"/>
      <c r="R278" s="1"/>
      <c r="S278" s="1"/>
      <c r="T278" s="1"/>
      <c r="U278" s="1"/>
      <c r="V278" s="1"/>
      <c r="W278" s="1"/>
      <c r="X278" s="1"/>
      <c r="Y278" s="1"/>
      <c r="Z278" s="1"/>
      <c r="AA278" s="1"/>
      <c r="AB278" s="1"/>
    </row>
    <row r="279" spans="1:28" ht="14.25" customHeight="1" x14ac:dyDescent="0.2">
      <c r="A279" s="72"/>
      <c r="B279" s="17">
        <v>278</v>
      </c>
      <c r="C279" s="6" t="s">
        <v>24</v>
      </c>
      <c r="D279" s="6" t="s">
        <v>762</v>
      </c>
      <c r="E279" s="15" t="s">
        <v>763</v>
      </c>
      <c r="F279" s="15" t="s">
        <v>764</v>
      </c>
      <c r="G279" s="16" t="s">
        <v>65</v>
      </c>
      <c r="H279" s="16" t="s">
        <v>36</v>
      </c>
      <c r="I279" s="16" t="s">
        <v>51</v>
      </c>
      <c r="J279" s="15" t="s">
        <v>51</v>
      </c>
      <c r="K279" s="15" t="s">
        <v>51</v>
      </c>
      <c r="L279" s="15" t="s">
        <v>66</v>
      </c>
      <c r="M279" s="1"/>
      <c r="N279" s="1"/>
      <c r="O279" s="1"/>
      <c r="P279" s="1"/>
      <c r="Q279" s="1"/>
      <c r="R279" s="1"/>
      <c r="S279" s="1"/>
      <c r="T279" s="1"/>
      <c r="U279" s="1"/>
      <c r="V279" s="1"/>
      <c r="W279" s="1"/>
      <c r="X279" s="1"/>
      <c r="Y279" s="1"/>
      <c r="Z279" s="1"/>
      <c r="AA279" s="1"/>
      <c r="AB279" s="1"/>
    </row>
    <row r="280" spans="1:28" ht="32" x14ac:dyDescent="0.2">
      <c r="A280" s="72"/>
      <c r="B280" s="17">
        <v>279</v>
      </c>
      <c r="C280" s="6" t="s">
        <v>24</v>
      </c>
      <c r="D280" s="18" t="s">
        <v>765</v>
      </c>
      <c r="E280" s="15" t="s">
        <v>766</v>
      </c>
      <c r="F280" s="15" t="s">
        <v>767</v>
      </c>
      <c r="G280" s="16" t="s">
        <v>65</v>
      </c>
      <c r="H280" s="16" t="s">
        <v>36</v>
      </c>
      <c r="I280" s="16" t="s">
        <v>51</v>
      </c>
      <c r="J280" s="15" t="s">
        <v>51</v>
      </c>
      <c r="K280" s="15" t="s">
        <v>51</v>
      </c>
      <c r="L280" s="15"/>
      <c r="M280" s="1"/>
      <c r="N280" s="1"/>
      <c r="O280" s="1"/>
      <c r="P280" s="1"/>
      <c r="Q280" s="1"/>
      <c r="R280" s="1"/>
      <c r="S280" s="1"/>
      <c r="T280" s="1"/>
      <c r="U280" s="1"/>
      <c r="V280" s="1"/>
      <c r="W280" s="1"/>
      <c r="X280" s="1"/>
      <c r="Y280" s="1"/>
      <c r="Z280" s="1"/>
      <c r="AA280" s="1"/>
      <c r="AB280" s="1"/>
    </row>
    <row r="281" spans="1:28" ht="14.25" customHeight="1" x14ac:dyDescent="0.2">
      <c r="A281" s="72"/>
      <c r="B281" s="17">
        <v>280</v>
      </c>
      <c r="C281" s="6" t="s">
        <v>24</v>
      </c>
      <c r="D281" s="6" t="s">
        <v>768</v>
      </c>
      <c r="E281" s="15" t="s">
        <v>769</v>
      </c>
      <c r="F281" s="15" t="s">
        <v>768</v>
      </c>
      <c r="G281" s="16" t="s">
        <v>65</v>
      </c>
      <c r="H281" s="16" t="s">
        <v>36</v>
      </c>
      <c r="I281" s="16" t="s">
        <v>51</v>
      </c>
      <c r="J281" s="15" t="s">
        <v>51</v>
      </c>
      <c r="K281" s="15" t="s">
        <v>51</v>
      </c>
      <c r="L281" s="15"/>
      <c r="M281" s="1"/>
      <c r="N281" s="1"/>
      <c r="O281" s="1"/>
      <c r="P281" s="1"/>
      <c r="Q281" s="1"/>
      <c r="R281" s="1"/>
      <c r="S281" s="1"/>
      <c r="T281" s="1"/>
      <c r="U281" s="1"/>
      <c r="V281" s="1"/>
      <c r="W281" s="1"/>
      <c r="X281" s="1"/>
      <c r="Y281" s="1"/>
      <c r="Z281" s="1"/>
      <c r="AA281" s="1"/>
      <c r="AB281" s="1"/>
    </row>
    <row r="282" spans="1:28" ht="14.25" customHeight="1" x14ac:dyDescent="0.2">
      <c r="A282" s="72"/>
      <c r="B282" s="17">
        <v>281</v>
      </c>
      <c r="C282" s="6" t="s">
        <v>24</v>
      </c>
      <c r="D282" s="6" t="s">
        <v>770</v>
      </c>
      <c r="E282" s="15" t="s">
        <v>771</v>
      </c>
      <c r="F282" s="15" t="s">
        <v>772</v>
      </c>
      <c r="G282" s="16" t="s">
        <v>589</v>
      </c>
      <c r="H282" s="16" t="s">
        <v>51</v>
      </c>
      <c r="I282" s="16" t="s">
        <v>52</v>
      </c>
      <c r="J282" s="15" t="s">
        <v>51</v>
      </c>
      <c r="K282" s="15" t="s">
        <v>52</v>
      </c>
      <c r="L282" s="15"/>
      <c r="M282" s="1"/>
      <c r="N282" s="1"/>
      <c r="O282" s="1"/>
      <c r="P282" s="1"/>
      <c r="Q282" s="1"/>
      <c r="R282" s="1"/>
      <c r="S282" s="1"/>
      <c r="T282" s="1"/>
      <c r="U282" s="1"/>
      <c r="V282" s="1"/>
      <c r="W282" s="1"/>
      <c r="X282" s="1"/>
      <c r="Y282" s="1"/>
      <c r="Z282" s="1"/>
      <c r="AA282" s="1"/>
      <c r="AB282" s="1"/>
    </row>
    <row r="283" spans="1:28" ht="14.25" customHeight="1" x14ac:dyDescent="0.2">
      <c r="A283" s="72"/>
      <c r="B283" s="17">
        <v>282</v>
      </c>
      <c r="C283" s="6" t="s">
        <v>24</v>
      </c>
      <c r="D283" s="6" t="s">
        <v>773</v>
      </c>
      <c r="E283" s="15" t="s">
        <v>774</v>
      </c>
      <c r="F283" s="15" t="s">
        <v>773</v>
      </c>
      <c r="G283" s="16" t="s">
        <v>65</v>
      </c>
      <c r="H283" s="16" t="s">
        <v>36</v>
      </c>
      <c r="I283" s="16" t="s">
        <v>51</v>
      </c>
      <c r="J283" s="15" t="s">
        <v>51</v>
      </c>
      <c r="K283" s="15" t="s">
        <v>51</v>
      </c>
      <c r="L283" s="15"/>
      <c r="M283" s="1"/>
      <c r="N283" s="1"/>
      <c r="O283" s="1"/>
      <c r="P283" s="1"/>
      <c r="Q283" s="1"/>
      <c r="R283" s="1"/>
      <c r="S283" s="1"/>
      <c r="T283" s="1"/>
      <c r="U283" s="1"/>
      <c r="V283" s="1"/>
      <c r="W283" s="1"/>
      <c r="X283" s="1"/>
      <c r="Y283" s="1"/>
      <c r="Z283" s="1"/>
      <c r="AA283" s="1"/>
      <c r="AB283" s="1"/>
    </row>
    <row r="284" spans="1:28" ht="14.25" customHeight="1" x14ac:dyDescent="0.2">
      <c r="A284" s="72"/>
      <c r="B284" s="17">
        <v>283</v>
      </c>
      <c r="C284" s="6" t="s">
        <v>24</v>
      </c>
      <c r="D284" s="6" t="s">
        <v>775</v>
      </c>
      <c r="E284" s="15" t="s">
        <v>776</v>
      </c>
      <c r="F284" s="15" t="s">
        <v>775</v>
      </c>
      <c r="G284" s="16" t="s">
        <v>65</v>
      </c>
      <c r="H284" s="16" t="s">
        <v>36</v>
      </c>
      <c r="I284" s="16" t="s">
        <v>51</v>
      </c>
      <c r="J284" s="15" t="s">
        <v>51</v>
      </c>
      <c r="K284" s="15" t="s">
        <v>51</v>
      </c>
      <c r="L284" s="15"/>
      <c r="M284" s="1"/>
      <c r="N284" s="1"/>
      <c r="O284" s="1"/>
      <c r="P284" s="1"/>
      <c r="Q284" s="1"/>
      <c r="R284" s="1"/>
      <c r="S284" s="1"/>
      <c r="T284" s="1"/>
      <c r="U284" s="1"/>
      <c r="V284" s="1"/>
      <c r="W284" s="1"/>
      <c r="X284" s="1"/>
      <c r="Y284" s="1"/>
      <c r="Z284" s="1"/>
      <c r="AA284" s="1"/>
      <c r="AB284" s="1"/>
    </row>
    <row r="285" spans="1:28" ht="14.25" customHeight="1" x14ac:dyDescent="0.2">
      <c r="A285" s="72"/>
      <c r="B285" s="17">
        <v>284</v>
      </c>
      <c r="C285" s="6" t="s">
        <v>24</v>
      </c>
      <c r="D285" s="6" t="s">
        <v>777</v>
      </c>
      <c r="E285" s="15" t="s">
        <v>778</v>
      </c>
      <c r="F285" s="15" t="s">
        <v>779</v>
      </c>
      <c r="G285" s="16" t="s">
        <v>65</v>
      </c>
      <c r="H285" s="16" t="s">
        <v>36</v>
      </c>
      <c r="I285" s="16" t="s">
        <v>51</v>
      </c>
      <c r="J285" s="15" t="s">
        <v>51</v>
      </c>
      <c r="K285" s="15" t="s">
        <v>51</v>
      </c>
      <c r="L285" s="15"/>
      <c r="M285" s="1"/>
      <c r="N285" s="1"/>
      <c r="O285" s="1"/>
      <c r="P285" s="1"/>
      <c r="Q285" s="1"/>
      <c r="R285" s="1"/>
      <c r="S285" s="1"/>
      <c r="T285" s="1"/>
      <c r="U285" s="1"/>
      <c r="V285" s="1"/>
      <c r="W285" s="1"/>
      <c r="X285" s="1"/>
      <c r="Y285" s="1"/>
      <c r="Z285" s="1"/>
      <c r="AA285" s="1"/>
      <c r="AB285" s="1"/>
    </row>
    <row r="286" spans="1:28" ht="14.25" customHeight="1" x14ac:dyDescent="0.2">
      <c r="A286" s="72"/>
      <c r="B286" s="17">
        <v>285</v>
      </c>
      <c r="C286" s="6" t="s">
        <v>24</v>
      </c>
      <c r="D286" s="6" t="s">
        <v>780</v>
      </c>
      <c r="E286" s="15" t="s">
        <v>781</v>
      </c>
      <c r="F286" s="15" t="s">
        <v>780</v>
      </c>
      <c r="G286" s="16" t="s">
        <v>65</v>
      </c>
      <c r="H286" s="16" t="s">
        <v>36</v>
      </c>
      <c r="I286" s="16" t="s">
        <v>51</v>
      </c>
      <c r="J286" s="15" t="s">
        <v>51</v>
      </c>
      <c r="K286" s="15" t="s">
        <v>51</v>
      </c>
      <c r="L286" s="15"/>
      <c r="M286" s="1"/>
      <c r="N286" s="1"/>
      <c r="O286" s="1"/>
      <c r="P286" s="1"/>
      <c r="Q286" s="1"/>
      <c r="R286" s="1"/>
      <c r="S286" s="1"/>
      <c r="T286" s="1"/>
      <c r="U286" s="1"/>
      <c r="V286" s="1"/>
      <c r="W286" s="1"/>
      <c r="X286" s="1"/>
      <c r="Y286" s="1"/>
      <c r="Z286" s="1"/>
      <c r="AA286" s="1"/>
      <c r="AB286" s="1"/>
    </row>
    <row r="287" spans="1:28" ht="14.25" customHeight="1" x14ac:dyDescent="0.2">
      <c r="A287" s="72"/>
      <c r="B287" s="17">
        <v>286</v>
      </c>
      <c r="C287" s="6" t="s">
        <v>24</v>
      </c>
      <c r="D287" s="6" t="s">
        <v>782</v>
      </c>
      <c r="E287" s="15" t="s">
        <v>783</v>
      </c>
      <c r="F287" s="15" t="s">
        <v>782</v>
      </c>
      <c r="G287" s="16" t="s">
        <v>65</v>
      </c>
      <c r="H287" s="16" t="s">
        <v>36</v>
      </c>
      <c r="I287" s="16" t="s">
        <v>51</v>
      </c>
      <c r="J287" s="15" t="s">
        <v>51</v>
      </c>
      <c r="K287" s="15" t="s">
        <v>51</v>
      </c>
      <c r="L287" s="15"/>
      <c r="M287" s="1"/>
      <c r="N287" s="1"/>
      <c r="O287" s="1"/>
      <c r="P287" s="1"/>
      <c r="Q287" s="1"/>
      <c r="R287" s="1"/>
      <c r="S287" s="1"/>
      <c r="T287" s="1"/>
      <c r="U287" s="1"/>
      <c r="V287" s="1"/>
      <c r="W287" s="1"/>
      <c r="X287" s="1"/>
      <c r="Y287" s="1"/>
      <c r="Z287" s="1"/>
      <c r="AA287" s="1"/>
      <c r="AB287" s="1"/>
    </row>
    <row r="288" spans="1:28" ht="14.25" customHeight="1" x14ac:dyDescent="0.2">
      <c r="A288" s="72"/>
      <c r="B288" s="17">
        <v>287</v>
      </c>
      <c r="C288" s="6" t="s">
        <v>24</v>
      </c>
      <c r="D288" s="6" t="s">
        <v>784</v>
      </c>
      <c r="E288" s="15" t="s">
        <v>785</v>
      </c>
      <c r="F288" s="15" t="s">
        <v>784</v>
      </c>
      <c r="G288" s="16" t="s">
        <v>65</v>
      </c>
      <c r="H288" s="16" t="s">
        <v>36</v>
      </c>
      <c r="I288" s="16" t="s">
        <v>51</v>
      </c>
      <c r="J288" s="15" t="s">
        <v>51</v>
      </c>
      <c r="K288" s="15" t="s">
        <v>51</v>
      </c>
      <c r="L288" s="15" t="s">
        <v>66</v>
      </c>
      <c r="M288" s="1"/>
      <c r="N288" s="1"/>
      <c r="O288" s="1"/>
      <c r="P288" s="1"/>
      <c r="Q288" s="1"/>
      <c r="R288" s="1"/>
      <c r="S288" s="1"/>
      <c r="T288" s="1"/>
      <c r="U288" s="1"/>
      <c r="V288" s="1"/>
      <c r="W288" s="1"/>
      <c r="X288" s="1"/>
      <c r="Y288" s="1"/>
      <c r="Z288" s="1"/>
      <c r="AA288" s="1"/>
      <c r="AB288" s="1"/>
    </row>
    <row r="289" spans="1:28" ht="14.25" customHeight="1" x14ac:dyDescent="0.2">
      <c r="A289" s="72"/>
      <c r="B289" s="17">
        <v>288</v>
      </c>
      <c r="C289" s="6" t="s">
        <v>24</v>
      </c>
      <c r="D289" s="6" t="s">
        <v>786</v>
      </c>
      <c r="E289" s="15" t="s">
        <v>787</v>
      </c>
      <c r="F289" s="15" t="s">
        <v>788</v>
      </c>
      <c r="G289" s="16" t="s">
        <v>589</v>
      </c>
      <c r="H289" s="16" t="s">
        <v>51</v>
      </c>
      <c r="I289" s="16" t="s">
        <v>52</v>
      </c>
      <c r="J289" s="15" t="s">
        <v>51</v>
      </c>
      <c r="K289" s="15" t="s">
        <v>52</v>
      </c>
      <c r="L289" s="15"/>
      <c r="M289" s="1"/>
      <c r="N289" s="1"/>
      <c r="O289" s="1"/>
      <c r="P289" s="1"/>
      <c r="Q289" s="1"/>
      <c r="R289" s="1"/>
      <c r="S289" s="1"/>
      <c r="T289" s="1"/>
      <c r="U289" s="1"/>
      <c r="V289" s="1"/>
      <c r="W289" s="1"/>
      <c r="X289" s="1"/>
      <c r="Y289" s="1"/>
      <c r="Z289" s="1"/>
      <c r="AA289" s="1"/>
      <c r="AB289" s="1"/>
    </row>
    <row r="290" spans="1:28" ht="14.25" customHeight="1" x14ac:dyDescent="0.2">
      <c r="A290" s="72"/>
      <c r="B290" s="17">
        <v>289</v>
      </c>
      <c r="C290" s="6" t="s">
        <v>24</v>
      </c>
      <c r="D290" s="6" t="s">
        <v>789</v>
      </c>
      <c r="E290" s="15" t="s">
        <v>790</v>
      </c>
      <c r="F290" s="15" t="s">
        <v>789</v>
      </c>
      <c r="G290" s="16" t="s">
        <v>65</v>
      </c>
      <c r="H290" s="16" t="s">
        <v>36</v>
      </c>
      <c r="I290" s="16" t="s">
        <v>51</v>
      </c>
      <c r="J290" s="15" t="s">
        <v>51</v>
      </c>
      <c r="K290" s="15" t="s">
        <v>51</v>
      </c>
      <c r="L290" s="15"/>
      <c r="M290" s="1"/>
      <c r="N290" s="1"/>
      <c r="O290" s="1"/>
      <c r="P290" s="1"/>
      <c r="Q290" s="1"/>
      <c r="R290" s="1"/>
      <c r="S290" s="1"/>
      <c r="T290" s="1"/>
      <c r="U290" s="1"/>
      <c r="V290" s="1"/>
      <c r="W290" s="1"/>
      <c r="X290" s="1"/>
      <c r="Y290" s="1"/>
      <c r="Z290" s="1"/>
      <c r="AA290" s="1"/>
      <c r="AB290" s="1"/>
    </row>
    <row r="291" spans="1:28" ht="14.25" customHeight="1" x14ac:dyDescent="0.2">
      <c r="A291" s="72"/>
      <c r="B291" s="17">
        <v>290</v>
      </c>
      <c r="C291" s="6" t="s">
        <v>24</v>
      </c>
      <c r="D291" s="6" t="s">
        <v>791</v>
      </c>
      <c r="E291" s="15" t="s">
        <v>792</v>
      </c>
      <c r="F291" s="15" t="s">
        <v>791</v>
      </c>
      <c r="G291" s="16" t="s">
        <v>65</v>
      </c>
      <c r="H291" s="16" t="s">
        <v>36</v>
      </c>
      <c r="I291" s="16" t="s">
        <v>51</v>
      </c>
      <c r="J291" s="15" t="s">
        <v>51</v>
      </c>
      <c r="K291" s="15" t="s">
        <v>51</v>
      </c>
      <c r="L291" s="15"/>
      <c r="M291" s="1"/>
      <c r="N291" s="1"/>
      <c r="O291" s="1"/>
      <c r="P291" s="1"/>
      <c r="Q291" s="1"/>
      <c r="R291" s="1"/>
      <c r="S291" s="1"/>
      <c r="T291" s="1"/>
      <c r="U291" s="1"/>
      <c r="V291" s="1"/>
      <c r="W291" s="1"/>
      <c r="X291" s="1"/>
      <c r="Y291" s="1"/>
      <c r="Z291" s="1"/>
      <c r="AA291" s="1"/>
      <c r="AB291" s="1"/>
    </row>
    <row r="292" spans="1:28" ht="14.25" customHeight="1" x14ac:dyDescent="0.2">
      <c r="A292" s="72"/>
      <c r="B292" s="17">
        <v>291</v>
      </c>
      <c r="C292" s="6" t="s">
        <v>24</v>
      </c>
      <c r="D292" s="6" t="s">
        <v>793</v>
      </c>
      <c r="E292" s="15" t="s">
        <v>794</v>
      </c>
      <c r="F292" s="15" t="s">
        <v>795</v>
      </c>
      <c r="G292" s="16" t="s">
        <v>65</v>
      </c>
      <c r="H292" s="16" t="s">
        <v>36</v>
      </c>
      <c r="I292" s="16" t="s">
        <v>51</v>
      </c>
      <c r="J292" s="15" t="s">
        <v>51</v>
      </c>
      <c r="K292" s="15" t="s">
        <v>51</v>
      </c>
      <c r="L292" s="15"/>
      <c r="M292" s="1"/>
      <c r="N292" s="1"/>
      <c r="O292" s="1"/>
      <c r="P292" s="1"/>
      <c r="Q292" s="1"/>
      <c r="R292" s="1"/>
      <c r="S292" s="1"/>
      <c r="T292" s="1"/>
      <c r="U292" s="1"/>
      <c r="V292" s="1"/>
      <c r="W292" s="1"/>
      <c r="X292" s="1"/>
      <c r="Y292" s="1"/>
      <c r="Z292" s="1"/>
      <c r="AA292" s="1"/>
      <c r="AB292" s="1"/>
    </row>
    <row r="293" spans="1:28" ht="14.25" customHeight="1" x14ac:dyDescent="0.2">
      <c r="A293" s="72"/>
      <c r="B293" s="17">
        <v>292</v>
      </c>
      <c r="C293" s="6" t="s">
        <v>24</v>
      </c>
      <c r="D293" s="6" t="s">
        <v>796</v>
      </c>
      <c r="E293" s="15" t="s">
        <v>797</v>
      </c>
      <c r="F293" s="15" t="s">
        <v>796</v>
      </c>
      <c r="G293" s="16" t="s">
        <v>65</v>
      </c>
      <c r="H293" s="16" t="s">
        <v>36</v>
      </c>
      <c r="I293" s="16" t="s">
        <v>51</v>
      </c>
      <c r="J293" s="15" t="s">
        <v>51</v>
      </c>
      <c r="K293" s="15" t="s">
        <v>51</v>
      </c>
      <c r="L293" s="15" t="s">
        <v>66</v>
      </c>
      <c r="M293" s="1"/>
      <c r="N293" s="1"/>
      <c r="O293" s="1"/>
      <c r="P293" s="1"/>
      <c r="Q293" s="1"/>
      <c r="R293" s="1"/>
      <c r="S293" s="1"/>
      <c r="T293" s="1"/>
      <c r="U293" s="1"/>
      <c r="V293" s="1"/>
      <c r="W293" s="1"/>
      <c r="X293" s="1"/>
      <c r="Y293" s="1"/>
      <c r="Z293" s="1"/>
      <c r="AA293" s="1"/>
      <c r="AB293" s="1"/>
    </row>
    <row r="294" spans="1:28" ht="14.25" customHeight="1" x14ac:dyDescent="0.2">
      <c r="A294" s="72"/>
      <c r="B294" s="17">
        <v>293</v>
      </c>
      <c r="C294" s="6" t="s">
        <v>24</v>
      </c>
      <c r="D294" s="18" t="s">
        <v>798</v>
      </c>
      <c r="E294" s="15" t="s">
        <v>799</v>
      </c>
      <c r="F294" s="15" t="s">
        <v>800</v>
      </c>
      <c r="G294" s="16" t="s">
        <v>589</v>
      </c>
      <c r="H294" s="16" t="s">
        <v>51</v>
      </c>
      <c r="I294" s="16" t="s">
        <v>52</v>
      </c>
      <c r="J294" s="15" t="s">
        <v>51</v>
      </c>
      <c r="K294" s="15" t="s">
        <v>52</v>
      </c>
      <c r="L294" s="15" t="s">
        <v>801</v>
      </c>
      <c r="M294" s="1"/>
      <c r="N294" s="1"/>
      <c r="O294" s="1"/>
      <c r="P294" s="1"/>
      <c r="Q294" s="1"/>
      <c r="R294" s="1"/>
      <c r="S294" s="1"/>
      <c r="T294" s="1"/>
      <c r="U294" s="1"/>
      <c r="V294" s="1"/>
      <c r="W294" s="1"/>
      <c r="X294" s="1"/>
      <c r="Y294" s="1"/>
      <c r="Z294" s="1"/>
      <c r="AA294" s="1"/>
      <c r="AB294" s="1"/>
    </row>
    <row r="295" spans="1:28" ht="14.25" customHeight="1" x14ac:dyDescent="0.2">
      <c r="A295" s="72"/>
      <c r="B295" s="17">
        <v>294</v>
      </c>
      <c r="C295" s="6" t="s">
        <v>24</v>
      </c>
      <c r="D295" s="6" t="s">
        <v>802</v>
      </c>
      <c r="E295" s="15" t="s">
        <v>803</v>
      </c>
      <c r="F295" s="15" t="s">
        <v>802</v>
      </c>
      <c r="G295" s="16" t="s">
        <v>65</v>
      </c>
      <c r="H295" s="16" t="s">
        <v>36</v>
      </c>
      <c r="I295" s="16" t="s">
        <v>51</v>
      </c>
      <c r="J295" s="15" t="s">
        <v>51</v>
      </c>
      <c r="K295" s="15" t="s">
        <v>51</v>
      </c>
      <c r="L295" s="15" t="s">
        <v>66</v>
      </c>
      <c r="M295" s="1"/>
      <c r="N295" s="1"/>
      <c r="O295" s="1"/>
      <c r="P295" s="1"/>
      <c r="Q295" s="1"/>
      <c r="R295" s="1"/>
      <c r="S295" s="1"/>
      <c r="T295" s="1"/>
      <c r="U295" s="1"/>
      <c r="V295" s="1"/>
      <c r="W295" s="1"/>
      <c r="X295" s="1"/>
      <c r="Y295" s="1"/>
      <c r="Z295" s="1"/>
      <c r="AA295" s="1"/>
      <c r="AB295" s="1"/>
    </row>
    <row r="296" spans="1:28" ht="14.25" customHeight="1" x14ac:dyDescent="0.2">
      <c r="A296" s="72"/>
      <c r="B296" s="17">
        <v>295</v>
      </c>
      <c r="C296" s="6" t="s">
        <v>24</v>
      </c>
      <c r="D296" s="6" t="s">
        <v>804</v>
      </c>
      <c r="E296" s="15" t="s">
        <v>805</v>
      </c>
      <c r="F296" s="15" t="s">
        <v>806</v>
      </c>
      <c r="G296" s="16" t="s">
        <v>589</v>
      </c>
      <c r="H296" s="16" t="s">
        <v>51</v>
      </c>
      <c r="I296" s="16" t="s">
        <v>52</v>
      </c>
      <c r="J296" s="15" t="s">
        <v>51</v>
      </c>
      <c r="K296" s="15" t="s">
        <v>52</v>
      </c>
      <c r="L296" s="15"/>
      <c r="M296" s="1"/>
      <c r="N296" s="1"/>
      <c r="O296" s="1"/>
      <c r="P296" s="1"/>
      <c r="Q296" s="1"/>
      <c r="R296" s="1"/>
      <c r="S296" s="1"/>
      <c r="T296" s="1"/>
      <c r="U296" s="1"/>
      <c r="V296" s="1"/>
      <c r="W296" s="1"/>
      <c r="X296" s="1"/>
      <c r="Y296" s="1"/>
      <c r="Z296" s="1"/>
      <c r="AA296" s="1"/>
      <c r="AB296" s="1"/>
    </row>
    <row r="297" spans="1:28" ht="32" x14ac:dyDescent="0.2">
      <c r="A297" s="72"/>
      <c r="B297" s="17">
        <v>296</v>
      </c>
      <c r="C297" s="6" t="s">
        <v>24</v>
      </c>
      <c r="D297" s="18" t="s">
        <v>807</v>
      </c>
      <c r="E297" s="15" t="s">
        <v>808</v>
      </c>
      <c r="F297" s="15" t="s">
        <v>809</v>
      </c>
      <c r="G297" s="16" t="s">
        <v>589</v>
      </c>
      <c r="H297" s="16" t="s">
        <v>51</v>
      </c>
      <c r="I297" s="16" t="s">
        <v>52</v>
      </c>
      <c r="J297" s="15" t="s">
        <v>51</v>
      </c>
      <c r="K297" s="15" t="s">
        <v>52</v>
      </c>
      <c r="L297" s="15"/>
      <c r="M297" s="1"/>
      <c r="N297" s="1"/>
      <c r="O297" s="1"/>
      <c r="P297" s="1"/>
      <c r="Q297" s="1"/>
      <c r="R297" s="1"/>
      <c r="S297" s="1"/>
      <c r="T297" s="1"/>
      <c r="U297" s="1"/>
      <c r="V297" s="1"/>
      <c r="W297" s="1"/>
      <c r="X297" s="1"/>
      <c r="Y297" s="1"/>
      <c r="Z297" s="1"/>
      <c r="AA297" s="1"/>
      <c r="AB297" s="1"/>
    </row>
    <row r="298" spans="1:28" ht="16" x14ac:dyDescent="0.2">
      <c r="A298" s="72"/>
      <c r="B298" s="17">
        <v>297</v>
      </c>
      <c r="C298" s="6" t="s">
        <v>24</v>
      </c>
      <c r="D298" s="18" t="s">
        <v>810</v>
      </c>
      <c r="E298" s="15" t="s">
        <v>811</v>
      </c>
      <c r="F298" s="15" t="s">
        <v>812</v>
      </c>
      <c r="G298" s="16" t="s">
        <v>65</v>
      </c>
      <c r="H298" s="16" t="s">
        <v>36</v>
      </c>
      <c r="I298" s="16" t="s">
        <v>51</v>
      </c>
      <c r="J298" s="15" t="s">
        <v>51</v>
      </c>
      <c r="K298" s="15" t="s">
        <v>51</v>
      </c>
      <c r="L298" s="15"/>
      <c r="M298" s="1"/>
      <c r="N298" s="1"/>
      <c r="O298" s="1"/>
      <c r="P298" s="1"/>
      <c r="Q298" s="1"/>
      <c r="R298" s="1"/>
      <c r="S298" s="1"/>
      <c r="T298" s="1"/>
      <c r="U298" s="1"/>
      <c r="V298" s="1"/>
      <c r="W298" s="1"/>
      <c r="X298" s="1"/>
      <c r="Y298" s="1"/>
      <c r="Z298" s="1"/>
      <c r="AA298" s="1"/>
      <c r="AB298" s="1"/>
    </row>
    <row r="299" spans="1:28" ht="64" x14ac:dyDescent="0.2">
      <c r="A299" s="72"/>
      <c r="B299" s="17">
        <v>298</v>
      </c>
      <c r="C299" s="6" t="s">
        <v>24</v>
      </c>
      <c r="D299" s="18" t="s">
        <v>813</v>
      </c>
      <c r="E299" s="15" t="s">
        <v>814</v>
      </c>
      <c r="F299" s="15" t="s">
        <v>815</v>
      </c>
      <c r="G299" s="16" t="s">
        <v>589</v>
      </c>
      <c r="H299" s="16" t="s">
        <v>51</v>
      </c>
      <c r="I299" s="16" t="s">
        <v>52</v>
      </c>
      <c r="J299" s="15" t="s">
        <v>51</v>
      </c>
      <c r="K299" s="15" t="s">
        <v>52</v>
      </c>
      <c r="L299" s="15"/>
      <c r="M299" s="1"/>
      <c r="N299" s="1"/>
      <c r="O299" s="1"/>
      <c r="P299" s="1"/>
      <c r="Q299" s="1"/>
      <c r="R299" s="1"/>
      <c r="S299" s="1"/>
      <c r="T299" s="1"/>
      <c r="U299" s="1"/>
      <c r="V299" s="1"/>
      <c r="W299" s="1"/>
      <c r="X299" s="1"/>
      <c r="Y299" s="1"/>
      <c r="Z299" s="1"/>
      <c r="AA299" s="1"/>
      <c r="AB299" s="1"/>
    </row>
    <row r="300" spans="1:28" ht="14.25" customHeight="1" x14ac:dyDescent="0.2">
      <c r="A300" s="72"/>
      <c r="B300" s="17">
        <v>299</v>
      </c>
      <c r="C300" s="6" t="s">
        <v>24</v>
      </c>
      <c r="D300" s="6" t="s">
        <v>816</v>
      </c>
      <c r="E300" s="15" t="s">
        <v>817</v>
      </c>
      <c r="F300" s="15" t="s">
        <v>818</v>
      </c>
      <c r="G300" s="16" t="s">
        <v>65</v>
      </c>
      <c r="H300" s="16" t="s">
        <v>36</v>
      </c>
      <c r="I300" s="16" t="s">
        <v>51</v>
      </c>
      <c r="J300" s="15" t="s">
        <v>51</v>
      </c>
      <c r="K300" s="15" t="s">
        <v>51</v>
      </c>
      <c r="L300" s="15"/>
      <c r="M300" s="1"/>
      <c r="N300" s="1"/>
      <c r="O300" s="1"/>
      <c r="P300" s="1"/>
      <c r="Q300" s="1"/>
      <c r="R300" s="1"/>
      <c r="S300" s="1"/>
      <c r="T300" s="1"/>
      <c r="U300" s="1"/>
      <c r="V300" s="1"/>
      <c r="W300" s="1"/>
      <c r="X300" s="1"/>
      <c r="Y300" s="1"/>
      <c r="Z300" s="1"/>
      <c r="AA300" s="1"/>
      <c r="AB300" s="1"/>
    </row>
    <row r="301" spans="1:28" ht="14.25" customHeight="1" x14ac:dyDescent="0.2">
      <c r="A301" s="72"/>
      <c r="B301" s="17">
        <v>300</v>
      </c>
      <c r="C301" s="6" t="s">
        <v>24</v>
      </c>
      <c r="D301" s="6" t="s">
        <v>819</v>
      </c>
      <c r="E301" s="15" t="s">
        <v>820</v>
      </c>
      <c r="F301" s="15" t="s">
        <v>819</v>
      </c>
      <c r="G301" s="16" t="s">
        <v>589</v>
      </c>
      <c r="H301" s="16" t="s">
        <v>51</v>
      </c>
      <c r="I301" s="16" t="s">
        <v>52</v>
      </c>
      <c r="J301" s="15" t="s">
        <v>51</v>
      </c>
      <c r="K301" s="15" t="s">
        <v>52</v>
      </c>
      <c r="L301" s="15"/>
      <c r="M301" s="1"/>
      <c r="N301" s="1"/>
      <c r="O301" s="1"/>
      <c r="P301" s="1"/>
      <c r="Q301" s="1"/>
      <c r="R301" s="1"/>
      <c r="S301" s="1"/>
      <c r="T301" s="1"/>
      <c r="U301" s="1"/>
      <c r="V301" s="1"/>
      <c r="W301" s="1"/>
      <c r="X301" s="1"/>
      <c r="Y301" s="1"/>
      <c r="Z301" s="1"/>
      <c r="AA301" s="1"/>
      <c r="AB301" s="1"/>
    </row>
    <row r="302" spans="1:28" ht="14.25" customHeight="1" x14ac:dyDescent="0.2">
      <c r="A302" s="72"/>
      <c r="B302" s="17">
        <v>301</v>
      </c>
      <c r="C302" s="6" t="s">
        <v>24</v>
      </c>
      <c r="D302" s="6" t="s">
        <v>821</v>
      </c>
      <c r="E302" s="15" t="s">
        <v>822</v>
      </c>
      <c r="F302" s="15" t="s">
        <v>821</v>
      </c>
      <c r="G302" s="16" t="s">
        <v>65</v>
      </c>
      <c r="H302" s="16" t="s">
        <v>36</v>
      </c>
      <c r="I302" s="16" t="s">
        <v>51</v>
      </c>
      <c r="J302" s="15" t="s">
        <v>51</v>
      </c>
      <c r="K302" s="15" t="s">
        <v>51</v>
      </c>
      <c r="L302" s="15"/>
      <c r="M302" s="1"/>
      <c r="N302" s="1"/>
      <c r="O302" s="1"/>
      <c r="P302" s="1"/>
      <c r="Q302" s="1"/>
      <c r="R302" s="1"/>
      <c r="S302" s="1"/>
      <c r="T302" s="1"/>
      <c r="U302" s="1"/>
      <c r="V302" s="1"/>
      <c r="W302" s="1"/>
      <c r="X302" s="1"/>
      <c r="Y302" s="1"/>
      <c r="Z302" s="1"/>
      <c r="AA302" s="1"/>
      <c r="AB302" s="1"/>
    </row>
    <row r="303" spans="1:28" ht="14.25" customHeight="1" x14ac:dyDescent="0.2">
      <c r="A303" s="72"/>
      <c r="B303" s="17">
        <v>302</v>
      </c>
      <c r="C303" s="6" t="s">
        <v>24</v>
      </c>
      <c r="D303" s="6" t="s">
        <v>823</v>
      </c>
      <c r="E303" s="15" t="s">
        <v>824</v>
      </c>
      <c r="F303" s="15" t="s">
        <v>823</v>
      </c>
      <c r="G303" s="16" t="s">
        <v>65</v>
      </c>
      <c r="H303" s="16" t="s">
        <v>36</v>
      </c>
      <c r="I303" s="16" t="s">
        <v>51</v>
      </c>
      <c r="J303" s="15" t="s">
        <v>51</v>
      </c>
      <c r="K303" s="15" t="s">
        <v>51</v>
      </c>
      <c r="L303" s="15"/>
      <c r="M303" s="1"/>
      <c r="N303" s="1"/>
      <c r="O303" s="1"/>
      <c r="P303" s="1"/>
      <c r="Q303" s="1"/>
      <c r="R303" s="1"/>
      <c r="S303" s="1"/>
      <c r="T303" s="1"/>
      <c r="U303" s="1"/>
      <c r="V303" s="1"/>
      <c r="W303" s="1"/>
      <c r="X303" s="1"/>
      <c r="Y303" s="1"/>
      <c r="Z303" s="1"/>
      <c r="AA303" s="1"/>
      <c r="AB303" s="1"/>
    </row>
    <row r="304" spans="1:28" ht="16" x14ac:dyDescent="0.2">
      <c r="A304" s="72"/>
      <c r="B304" s="17">
        <v>303</v>
      </c>
      <c r="C304" s="6" t="s">
        <v>24</v>
      </c>
      <c r="D304" s="18" t="s">
        <v>825</v>
      </c>
      <c r="E304" s="15" t="s">
        <v>826</v>
      </c>
      <c r="F304" s="15" t="s">
        <v>827</v>
      </c>
      <c r="G304" s="16" t="s">
        <v>589</v>
      </c>
      <c r="H304" s="16" t="s">
        <v>51</v>
      </c>
      <c r="I304" s="16" t="s">
        <v>52</v>
      </c>
      <c r="J304" s="15" t="s">
        <v>51</v>
      </c>
      <c r="K304" s="15" t="s">
        <v>52</v>
      </c>
      <c r="L304" s="15"/>
      <c r="M304" s="1"/>
      <c r="N304" s="1"/>
      <c r="O304" s="1"/>
      <c r="P304" s="1"/>
      <c r="Q304" s="1"/>
      <c r="R304" s="1"/>
      <c r="S304" s="1"/>
      <c r="T304" s="1"/>
      <c r="U304" s="1"/>
      <c r="V304" s="1"/>
      <c r="W304" s="1"/>
      <c r="X304" s="1"/>
      <c r="Y304" s="1"/>
      <c r="Z304" s="1"/>
      <c r="AA304" s="1"/>
      <c r="AB304" s="1"/>
    </row>
    <row r="305" spans="1:28" ht="14.25" customHeight="1" x14ac:dyDescent="0.2">
      <c r="A305" s="72"/>
      <c r="B305" s="17">
        <v>304</v>
      </c>
      <c r="C305" s="6" t="s">
        <v>24</v>
      </c>
      <c r="D305" s="6" t="s">
        <v>828</v>
      </c>
      <c r="E305" s="15" t="s">
        <v>829</v>
      </c>
      <c r="F305" s="15" t="s">
        <v>828</v>
      </c>
      <c r="G305" s="16" t="s">
        <v>65</v>
      </c>
      <c r="H305" s="16" t="s">
        <v>36</v>
      </c>
      <c r="I305" s="16" t="s">
        <v>51</v>
      </c>
      <c r="J305" s="15" t="s">
        <v>51</v>
      </c>
      <c r="K305" s="15" t="s">
        <v>51</v>
      </c>
      <c r="L305" s="15" t="s">
        <v>830</v>
      </c>
      <c r="M305" s="1"/>
      <c r="N305" s="1"/>
      <c r="O305" s="1"/>
      <c r="P305" s="1"/>
      <c r="Q305" s="1"/>
      <c r="R305" s="1"/>
      <c r="S305" s="1"/>
      <c r="T305" s="1"/>
      <c r="U305" s="1"/>
      <c r="V305" s="1"/>
      <c r="W305" s="1"/>
      <c r="X305" s="1"/>
      <c r="Y305" s="1"/>
      <c r="Z305" s="1"/>
      <c r="AA305" s="1"/>
      <c r="AB305" s="1"/>
    </row>
    <row r="306" spans="1:28" ht="64" x14ac:dyDescent="0.2">
      <c r="A306" s="72"/>
      <c r="B306" s="17">
        <v>305</v>
      </c>
      <c r="C306" s="6" t="s">
        <v>24</v>
      </c>
      <c r="D306" s="18" t="s">
        <v>831</v>
      </c>
      <c r="E306" s="15" t="s">
        <v>832</v>
      </c>
      <c r="F306" s="15" t="s">
        <v>833</v>
      </c>
      <c r="G306" s="16" t="s">
        <v>589</v>
      </c>
      <c r="H306" s="16" t="s">
        <v>51</v>
      </c>
      <c r="I306" s="16" t="s">
        <v>52</v>
      </c>
      <c r="J306" s="15" t="s">
        <v>51</v>
      </c>
      <c r="K306" s="15" t="s">
        <v>52</v>
      </c>
      <c r="L306" s="15"/>
      <c r="M306" s="1"/>
      <c r="N306" s="1"/>
      <c r="O306" s="1"/>
      <c r="P306" s="1"/>
      <c r="Q306" s="1"/>
      <c r="R306" s="1"/>
      <c r="S306" s="1"/>
      <c r="T306" s="1"/>
      <c r="U306" s="1"/>
      <c r="V306" s="1"/>
      <c r="W306" s="1"/>
      <c r="X306" s="1"/>
      <c r="Y306" s="1"/>
      <c r="Z306" s="1"/>
      <c r="AA306" s="1"/>
      <c r="AB306" s="1"/>
    </row>
    <row r="307" spans="1:28" ht="14.25" customHeight="1" x14ac:dyDescent="0.2">
      <c r="A307" s="72"/>
      <c r="B307" s="17">
        <v>306</v>
      </c>
      <c r="C307" s="6" t="s">
        <v>24</v>
      </c>
      <c r="D307" s="6" t="s">
        <v>834</v>
      </c>
      <c r="E307" s="15" t="s">
        <v>835</v>
      </c>
      <c r="F307" s="15" t="s">
        <v>834</v>
      </c>
      <c r="G307" s="16" t="s">
        <v>836</v>
      </c>
      <c r="H307" s="16" t="s">
        <v>36</v>
      </c>
      <c r="I307" s="16" t="s">
        <v>51</v>
      </c>
      <c r="J307" s="15" t="s">
        <v>51</v>
      </c>
      <c r="K307" s="15" t="s">
        <v>51</v>
      </c>
      <c r="L307" s="15"/>
      <c r="M307" s="1"/>
      <c r="N307" s="1"/>
      <c r="O307" s="1"/>
      <c r="P307" s="1"/>
      <c r="Q307" s="1"/>
      <c r="R307" s="1"/>
      <c r="S307" s="1"/>
      <c r="T307" s="1"/>
      <c r="U307" s="1"/>
      <c r="V307" s="1"/>
      <c r="W307" s="1"/>
      <c r="X307" s="1"/>
      <c r="Y307" s="1"/>
      <c r="Z307" s="1"/>
      <c r="AA307" s="1"/>
      <c r="AB307" s="1"/>
    </row>
    <row r="308" spans="1:28" ht="335" x14ac:dyDescent="0.2">
      <c r="A308" s="72"/>
      <c r="B308" s="17">
        <v>307</v>
      </c>
      <c r="C308" s="6" t="s">
        <v>24</v>
      </c>
      <c r="D308" s="18" t="s">
        <v>837</v>
      </c>
      <c r="E308" s="15" t="s">
        <v>838</v>
      </c>
      <c r="F308" s="15" t="s">
        <v>839</v>
      </c>
      <c r="G308" s="16" t="s">
        <v>589</v>
      </c>
      <c r="H308" s="16" t="s">
        <v>51</v>
      </c>
      <c r="I308" s="16" t="s">
        <v>52</v>
      </c>
      <c r="J308" s="15" t="s">
        <v>51</v>
      </c>
      <c r="K308" s="15" t="s">
        <v>52</v>
      </c>
      <c r="L308" s="15"/>
      <c r="M308" s="1"/>
      <c r="N308" s="1"/>
      <c r="O308" s="1"/>
      <c r="P308" s="1"/>
      <c r="Q308" s="1"/>
      <c r="R308" s="1"/>
      <c r="S308" s="1"/>
      <c r="T308" s="1"/>
      <c r="U308" s="1"/>
      <c r="V308" s="1"/>
      <c r="W308" s="1"/>
      <c r="X308" s="1"/>
      <c r="Y308" s="1"/>
      <c r="Z308" s="1"/>
      <c r="AA308" s="1"/>
      <c r="AB308" s="1"/>
    </row>
    <row r="309" spans="1:28" ht="14.25" customHeight="1" x14ac:dyDescent="0.2">
      <c r="A309" s="72"/>
      <c r="B309" s="17">
        <v>308</v>
      </c>
      <c r="C309" s="6" t="s">
        <v>24</v>
      </c>
      <c r="D309" s="18" t="s">
        <v>840</v>
      </c>
      <c r="E309" s="15" t="s">
        <v>841</v>
      </c>
      <c r="F309" s="15" t="s">
        <v>842</v>
      </c>
      <c r="G309" s="16" t="s">
        <v>589</v>
      </c>
      <c r="H309" s="16" t="s">
        <v>51</v>
      </c>
      <c r="I309" s="16" t="s">
        <v>52</v>
      </c>
      <c r="J309" s="15" t="s">
        <v>51</v>
      </c>
      <c r="K309" s="15" t="s">
        <v>52</v>
      </c>
      <c r="L309" s="15"/>
      <c r="M309" s="1"/>
      <c r="N309" s="1"/>
      <c r="O309" s="1"/>
      <c r="P309" s="1"/>
      <c r="Q309" s="1"/>
      <c r="R309" s="1"/>
      <c r="S309" s="1"/>
      <c r="T309" s="1"/>
      <c r="U309" s="1"/>
      <c r="V309" s="1"/>
      <c r="W309" s="1"/>
      <c r="X309" s="1"/>
      <c r="Y309" s="1"/>
      <c r="Z309" s="1"/>
      <c r="AA309" s="1"/>
      <c r="AB309" s="1"/>
    </row>
    <row r="310" spans="1:28" ht="14.25" customHeight="1" x14ac:dyDescent="0.2">
      <c r="A310" s="72"/>
      <c r="B310" s="17">
        <v>309</v>
      </c>
      <c r="C310" s="6" t="s">
        <v>24</v>
      </c>
      <c r="D310" s="6" t="s">
        <v>843</v>
      </c>
      <c r="E310" s="15" t="s">
        <v>844</v>
      </c>
      <c r="F310" s="15" t="s">
        <v>843</v>
      </c>
      <c r="G310" s="16" t="s">
        <v>836</v>
      </c>
      <c r="H310" s="16" t="s">
        <v>51</v>
      </c>
      <c r="I310" s="16" t="s">
        <v>52</v>
      </c>
      <c r="J310" s="15" t="s">
        <v>51</v>
      </c>
      <c r="K310" s="15" t="s">
        <v>52</v>
      </c>
      <c r="L310" s="15" t="s">
        <v>66</v>
      </c>
      <c r="M310" s="1"/>
      <c r="N310" s="1"/>
      <c r="O310" s="1"/>
      <c r="P310" s="1"/>
      <c r="Q310" s="1"/>
      <c r="R310" s="1"/>
      <c r="S310" s="1"/>
      <c r="T310" s="1"/>
      <c r="U310" s="1"/>
      <c r="V310" s="1"/>
      <c r="W310" s="1"/>
      <c r="X310" s="1"/>
      <c r="Y310" s="1"/>
      <c r="Z310" s="1"/>
      <c r="AA310" s="1"/>
      <c r="AB310" s="1"/>
    </row>
    <row r="311" spans="1:28" ht="14.25" customHeight="1" x14ac:dyDescent="0.2">
      <c r="A311" s="72"/>
      <c r="B311" s="17">
        <v>310</v>
      </c>
      <c r="C311" s="6" t="s">
        <v>24</v>
      </c>
      <c r="D311" s="6" t="s">
        <v>845</v>
      </c>
      <c r="E311" s="6" t="s">
        <v>846</v>
      </c>
      <c r="F311" s="6" t="s">
        <v>845</v>
      </c>
      <c r="G311" s="16" t="s">
        <v>836</v>
      </c>
      <c r="H311" s="16" t="s">
        <v>36</v>
      </c>
      <c r="I311" s="16" t="s">
        <v>51</v>
      </c>
      <c r="J311" s="15" t="s">
        <v>51</v>
      </c>
      <c r="K311" s="15" t="s">
        <v>51</v>
      </c>
      <c r="L311" s="15"/>
      <c r="M311" s="1"/>
      <c r="N311" s="1"/>
      <c r="O311" s="1"/>
      <c r="P311" s="1"/>
      <c r="Q311" s="1"/>
      <c r="R311" s="1"/>
      <c r="S311" s="1"/>
      <c r="T311" s="1"/>
      <c r="U311" s="1"/>
      <c r="V311" s="1"/>
      <c r="W311" s="1"/>
      <c r="X311" s="1"/>
      <c r="Y311" s="1"/>
      <c r="Z311" s="1"/>
      <c r="AA311" s="1"/>
      <c r="AB311" s="1"/>
    </row>
    <row r="312" spans="1:28" ht="14.25" customHeight="1" x14ac:dyDescent="0.2">
      <c r="A312" s="72"/>
      <c r="B312" s="30">
        <v>311</v>
      </c>
      <c r="C312" s="6" t="s">
        <v>24</v>
      </c>
      <c r="D312" s="8" t="s">
        <v>847</v>
      </c>
      <c r="E312" s="6" t="s">
        <v>848</v>
      </c>
      <c r="F312" s="6" t="s">
        <v>847</v>
      </c>
      <c r="G312" s="6" t="s">
        <v>836</v>
      </c>
      <c r="H312" s="16" t="s">
        <v>51</v>
      </c>
      <c r="I312" s="16" t="s">
        <v>52</v>
      </c>
      <c r="J312" s="15" t="s">
        <v>51</v>
      </c>
      <c r="K312" s="15" t="s">
        <v>52</v>
      </c>
      <c r="L312" s="15"/>
      <c r="M312" s="1"/>
      <c r="N312" s="1"/>
      <c r="O312" s="1"/>
      <c r="P312" s="1"/>
      <c r="Q312" s="1"/>
      <c r="R312" s="1"/>
      <c r="S312" s="1"/>
      <c r="T312" s="1"/>
      <c r="U312" s="1"/>
      <c r="V312" s="1"/>
      <c r="W312" s="1"/>
      <c r="X312" s="1"/>
      <c r="Y312" s="1"/>
      <c r="Z312" s="1"/>
      <c r="AA312" s="1"/>
      <c r="AB312" s="1"/>
    </row>
    <row r="313" spans="1:28" ht="14.25" customHeight="1" x14ac:dyDescent="0.2">
      <c r="A313" s="72"/>
      <c r="B313" s="30">
        <v>312</v>
      </c>
      <c r="C313" s="6" t="s">
        <v>24</v>
      </c>
      <c r="D313" s="8" t="s">
        <v>849</v>
      </c>
      <c r="E313" s="6" t="s">
        <v>850</v>
      </c>
      <c r="F313" s="6" t="s">
        <v>851</v>
      </c>
      <c r="G313" s="6" t="s">
        <v>836</v>
      </c>
      <c r="H313" s="16" t="s">
        <v>51</v>
      </c>
      <c r="I313" s="16" t="s">
        <v>52</v>
      </c>
      <c r="J313" s="15" t="s">
        <v>51</v>
      </c>
      <c r="K313" s="15" t="s">
        <v>52</v>
      </c>
      <c r="L313" s="33"/>
      <c r="M313" s="1"/>
      <c r="N313" s="1"/>
      <c r="O313" s="1"/>
      <c r="P313" s="1"/>
      <c r="Q313" s="1"/>
      <c r="R313" s="1"/>
      <c r="S313" s="1"/>
      <c r="T313" s="1"/>
      <c r="U313" s="1"/>
      <c r="V313" s="1"/>
      <c r="W313" s="1"/>
      <c r="X313" s="1"/>
      <c r="Y313" s="1"/>
      <c r="Z313" s="1"/>
      <c r="AA313" s="1"/>
      <c r="AB313" s="1"/>
    </row>
    <row r="314" spans="1:28" ht="66.75" customHeight="1" x14ac:dyDescent="0.2">
      <c r="A314" s="73"/>
      <c r="B314" s="20">
        <v>313</v>
      </c>
      <c r="C314" s="6" t="s">
        <v>24</v>
      </c>
      <c r="D314" s="10" t="s">
        <v>852</v>
      </c>
      <c r="E314" s="6" t="s">
        <v>853</v>
      </c>
      <c r="F314" s="6" t="s">
        <v>854</v>
      </c>
      <c r="G314" s="6" t="s">
        <v>836</v>
      </c>
      <c r="H314" s="16" t="s">
        <v>51</v>
      </c>
      <c r="I314" s="16" t="s">
        <v>52</v>
      </c>
      <c r="J314" s="15" t="s">
        <v>51</v>
      </c>
      <c r="K314" s="15" t="s">
        <v>52</v>
      </c>
      <c r="L314" s="10"/>
      <c r="M314" s="1"/>
      <c r="N314" s="1"/>
      <c r="O314" s="1"/>
      <c r="P314" s="1"/>
      <c r="Q314" s="1"/>
      <c r="R314" s="1"/>
      <c r="S314" s="1"/>
      <c r="T314" s="1"/>
      <c r="U314" s="1"/>
      <c r="V314" s="1"/>
      <c r="W314" s="1"/>
      <c r="X314" s="1"/>
      <c r="Y314" s="1"/>
      <c r="Z314" s="1"/>
      <c r="AA314" s="1"/>
      <c r="AB314" s="1"/>
    </row>
    <row r="315" spans="1:28" ht="32" x14ac:dyDescent="0.2">
      <c r="A315" s="41" t="s">
        <v>855</v>
      </c>
      <c r="B315" s="40">
        <v>314</v>
      </c>
      <c r="C315" s="35" t="s">
        <v>856</v>
      </c>
      <c r="D315" s="15" t="s">
        <v>857</v>
      </c>
      <c r="E315" s="21" t="s">
        <v>858</v>
      </c>
      <c r="F315" s="22" t="s">
        <v>859</v>
      </c>
      <c r="G315" s="23" t="s">
        <v>860</v>
      </c>
      <c r="H315" s="22" t="s">
        <v>51</v>
      </c>
      <c r="I315" s="22" t="s">
        <v>52</v>
      </c>
      <c r="J315" s="22" t="s">
        <v>51</v>
      </c>
      <c r="K315" s="22" t="s">
        <v>52</v>
      </c>
      <c r="L315" s="22"/>
      <c r="M315" s="1"/>
      <c r="N315" s="1"/>
      <c r="O315" s="1"/>
      <c r="P315" s="1"/>
      <c r="Q315" s="1"/>
      <c r="R315" s="1"/>
      <c r="S315" s="1"/>
      <c r="T315" s="1"/>
      <c r="U315" s="1"/>
      <c r="V315" s="1"/>
      <c r="W315" s="1"/>
      <c r="X315" s="1"/>
      <c r="Y315" s="1"/>
      <c r="Z315" s="1"/>
      <c r="AA315" s="1"/>
      <c r="AB315" s="1"/>
    </row>
    <row r="316" spans="1:28" ht="14.25" customHeight="1" x14ac:dyDescent="0.2">
      <c r="A316" s="28"/>
      <c r="B316" s="28"/>
      <c r="C316" s="1"/>
      <c r="D316" s="18"/>
      <c r="E316" s="1"/>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4.25" customHeight="1" x14ac:dyDescent="0.2">
      <c r="A317" s="28"/>
      <c r="B317" s="28"/>
      <c r="C317" s="1"/>
      <c r="D317" s="18"/>
      <c r="E317" s="1"/>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4.25" customHeight="1" x14ac:dyDescent="0.2">
      <c r="A318" s="28"/>
      <c r="B318" s="28"/>
      <c r="C318" s="1"/>
      <c r="D318" s="18"/>
      <c r="E318" s="1"/>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4.25" customHeight="1" x14ac:dyDescent="0.2">
      <c r="A319" s="28"/>
      <c r="B319" s="28"/>
      <c r="C319" s="1"/>
      <c r="D319" s="18"/>
      <c r="E319" s="1"/>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4.25" customHeight="1" x14ac:dyDescent="0.2">
      <c r="A320" s="28"/>
      <c r="B320" s="28"/>
      <c r="C320" s="1"/>
      <c r="D320" s="18"/>
      <c r="E320" s="1"/>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4.25" customHeight="1" x14ac:dyDescent="0.2">
      <c r="A321" s="28"/>
      <c r="B321" s="28"/>
      <c r="C321" s="1"/>
      <c r="D321" s="18"/>
      <c r="E321" s="1"/>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4.25" customHeight="1" x14ac:dyDescent="0.2">
      <c r="A322" s="28"/>
      <c r="B322" s="28"/>
      <c r="C322" s="1"/>
      <c r="D322" s="18"/>
      <c r="E322" s="1"/>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4.25" customHeight="1" x14ac:dyDescent="0.2">
      <c r="A323" s="28"/>
      <c r="B323" s="28"/>
      <c r="C323" s="1"/>
      <c r="D323" s="18"/>
      <c r="E323" s="1"/>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4.25" customHeight="1" x14ac:dyDescent="0.2">
      <c r="A324" s="28"/>
      <c r="B324" s="28"/>
      <c r="C324" s="1"/>
      <c r="D324" s="18"/>
      <c r="E324" s="1"/>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4.25" customHeight="1" x14ac:dyDescent="0.2">
      <c r="A325" s="28"/>
      <c r="B325" s="28"/>
      <c r="C325" s="1"/>
      <c r="D325" s="18"/>
      <c r="E325" s="1"/>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4.25" customHeight="1" x14ac:dyDescent="0.2">
      <c r="A326" s="28"/>
      <c r="B326" s="28"/>
      <c r="C326" s="1"/>
      <c r="D326" s="18"/>
      <c r="E326" s="1"/>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4.25" customHeight="1" x14ac:dyDescent="0.2">
      <c r="A327" s="28"/>
      <c r="B327" s="28"/>
      <c r="C327" s="1"/>
      <c r="D327" s="18"/>
      <c r="E327" s="1"/>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4.25" customHeight="1" x14ac:dyDescent="0.2">
      <c r="A328" s="28"/>
      <c r="B328" s="28"/>
      <c r="C328" s="1"/>
      <c r="D328" s="18"/>
      <c r="E328" s="1"/>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4.25" customHeight="1" x14ac:dyDescent="0.2">
      <c r="A329" s="28"/>
      <c r="B329" s="28"/>
      <c r="C329" s="1"/>
      <c r="D329" s="18"/>
      <c r="E329" s="1"/>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4.25" customHeight="1" x14ac:dyDescent="0.2">
      <c r="A330" s="28"/>
      <c r="B330" s="28"/>
      <c r="C330" s="1"/>
      <c r="D330" s="18"/>
      <c r="E330" s="1"/>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4.25" customHeight="1" x14ac:dyDescent="0.2">
      <c r="A331" s="28"/>
      <c r="B331" s="28"/>
      <c r="C331" s="1"/>
      <c r="D331" s="18"/>
      <c r="E331" s="1"/>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4.25" customHeight="1" x14ac:dyDescent="0.2">
      <c r="A332" s="28"/>
      <c r="B332" s="28"/>
      <c r="C332" s="1"/>
      <c r="D332" s="18"/>
      <c r="E332" s="1"/>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4.25" customHeight="1" x14ac:dyDescent="0.2">
      <c r="A333" s="28"/>
      <c r="B333" s="28"/>
      <c r="C333" s="1"/>
      <c r="D333" s="18"/>
      <c r="E333" s="1"/>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4.25" customHeight="1" x14ac:dyDescent="0.2">
      <c r="A334" s="28"/>
      <c r="B334" s="28"/>
      <c r="C334" s="1"/>
      <c r="D334" s="18"/>
      <c r="E334" s="1"/>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4.25" customHeight="1" x14ac:dyDescent="0.2">
      <c r="A335" s="28"/>
      <c r="B335" s="28"/>
      <c r="C335" s="1"/>
      <c r="D335" s="18"/>
      <c r="E335" s="1"/>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4.25" customHeight="1" x14ac:dyDescent="0.2">
      <c r="A336" s="28"/>
      <c r="B336" s="28"/>
      <c r="C336" s="1"/>
      <c r="D336" s="18"/>
      <c r="E336" s="1"/>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4.25" customHeight="1" x14ac:dyDescent="0.2">
      <c r="A337" s="28"/>
      <c r="B337" s="28"/>
      <c r="C337" s="1"/>
      <c r="D337" s="18"/>
      <c r="E337" s="1"/>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4.25" customHeight="1" x14ac:dyDescent="0.2">
      <c r="A338" s="28"/>
      <c r="B338" s="28"/>
      <c r="C338" s="1"/>
      <c r="D338" s="18"/>
      <c r="E338" s="1"/>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4.25" customHeight="1" x14ac:dyDescent="0.2">
      <c r="A339" s="28"/>
      <c r="B339" s="28"/>
      <c r="C339" s="1"/>
      <c r="D339" s="18"/>
      <c r="E339" s="1"/>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4.25" customHeight="1" x14ac:dyDescent="0.2">
      <c r="A340" s="28"/>
      <c r="B340" s="28"/>
      <c r="C340" s="1"/>
      <c r="D340" s="18"/>
      <c r="E340" s="1"/>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4.25" customHeight="1" x14ac:dyDescent="0.2">
      <c r="A341" s="28"/>
      <c r="B341" s="28"/>
      <c r="C341" s="1"/>
      <c r="D341" s="18"/>
      <c r="E341" s="1"/>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4.25" customHeight="1" x14ac:dyDescent="0.2">
      <c r="A342" s="28"/>
      <c r="B342" s="28"/>
      <c r="C342" s="1"/>
      <c r="D342" s="18"/>
      <c r="E342" s="1"/>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4.25" customHeight="1" x14ac:dyDescent="0.2">
      <c r="A343" s="28"/>
      <c r="B343" s="28"/>
      <c r="C343" s="1"/>
      <c r="D343" s="18"/>
      <c r="E343" s="1"/>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4.25" customHeight="1" x14ac:dyDescent="0.2">
      <c r="A344" s="28"/>
      <c r="B344" s="28"/>
      <c r="C344" s="1"/>
      <c r="D344" s="18"/>
      <c r="E344" s="1"/>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4.25" customHeight="1" x14ac:dyDescent="0.2">
      <c r="A345" s="28"/>
      <c r="B345" s="28"/>
      <c r="C345" s="1"/>
      <c r="D345" s="18"/>
      <c r="E345" s="1"/>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4.25" customHeight="1" x14ac:dyDescent="0.2">
      <c r="A346" s="28"/>
      <c r="B346" s="28"/>
      <c r="C346" s="1"/>
      <c r="D346" s="18"/>
      <c r="E346" s="1"/>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4.25" customHeight="1" x14ac:dyDescent="0.2">
      <c r="A347" s="28"/>
      <c r="B347" s="28"/>
      <c r="C347" s="1"/>
      <c r="D347" s="18"/>
      <c r="E347" s="1"/>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4.25" customHeight="1" x14ac:dyDescent="0.2">
      <c r="A348" s="28"/>
      <c r="B348" s="28"/>
      <c r="C348" s="1"/>
      <c r="D348" s="18"/>
      <c r="E348" s="1"/>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4.25" customHeight="1" x14ac:dyDescent="0.2">
      <c r="A349" s="28"/>
      <c r="B349" s="28"/>
      <c r="C349" s="1"/>
      <c r="D349" s="18"/>
      <c r="E349" s="1"/>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4.25" customHeight="1" x14ac:dyDescent="0.2">
      <c r="A350" s="28"/>
      <c r="B350" s="28"/>
      <c r="C350" s="1"/>
      <c r="D350" s="18"/>
      <c r="E350" s="1"/>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4.25" customHeight="1" x14ac:dyDescent="0.2">
      <c r="A351" s="28"/>
      <c r="B351" s="28"/>
      <c r="C351" s="1"/>
      <c r="D351" s="18"/>
      <c r="E351" s="1"/>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4.25" customHeight="1" x14ac:dyDescent="0.2">
      <c r="A352" s="28"/>
      <c r="B352" s="28"/>
      <c r="C352" s="1"/>
      <c r="D352" s="18"/>
      <c r="E352" s="1"/>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4.25" customHeight="1" x14ac:dyDescent="0.2">
      <c r="A353" s="28"/>
      <c r="B353" s="28"/>
      <c r="C353" s="1"/>
      <c r="D353" s="18"/>
      <c r="E353" s="1"/>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4.25" customHeight="1" x14ac:dyDescent="0.2">
      <c r="A354" s="28"/>
      <c r="B354" s="28"/>
      <c r="C354" s="1"/>
      <c r="D354" s="18"/>
      <c r="E354" s="1"/>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4.25" customHeight="1" x14ac:dyDescent="0.2">
      <c r="A355" s="28"/>
      <c r="B355" s="28"/>
      <c r="C355" s="1"/>
      <c r="D355" s="18"/>
      <c r="E355" s="1"/>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4.25" customHeight="1" x14ac:dyDescent="0.2">
      <c r="A356" s="28"/>
      <c r="B356" s="28"/>
      <c r="C356" s="1"/>
      <c r="D356" s="18"/>
      <c r="E356" s="1"/>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4.25" customHeight="1" x14ac:dyDescent="0.2">
      <c r="A357" s="28"/>
      <c r="B357" s="28"/>
      <c r="C357" s="1"/>
      <c r="D357" s="18"/>
      <c r="E357" s="1"/>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4.25" customHeight="1" x14ac:dyDescent="0.2">
      <c r="A358" s="28"/>
      <c r="B358" s="28"/>
      <c r="C358" s="1"/>
      <c r="D358" s="18"/>
      <c r="E358" s="1"/>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4.25" customHeight="1" x14ac:dyDescent="0.2">
      <c r="A359" s="28"/>
      <c r="B359" s="28"/>
      <c r="C359" s="1"/>
      <c r="D359" s="18"/>
      <c r="E359" s="1"/>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4.25" customHeight="1" x14ac:dyDescent="0.2">
      <c r="A360" s="28"/>
      <c r="B360" s="28"/>
      <c r="C360" s="1"/>
      <c r="D360" s="18"/>
      <c r="E360" s="1"/>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4.25" customHeight="1" x14ac:dyDescent="0.2">
      <c r="A361" s="28"/>
      <c r="B361" s="28"/>
      <c r="C361" s="1"/>
      <c r="D361" s="18"/>
      <c r="E361" s="1"/>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4.25" customHeight="1" x14ac:dyDescent="0.2">
      <c r="A362" s="28"/>
      <c r="B362" s="28"/>
      <c r="C362" s="1"/>
      <c r="D362" s="18"/>
      <c r="E362" s="1"/>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4.25" customHeight="1" x14ac:dyDescent="0.2">
      <c r="A363" s="28"/>
      <c r="B363" s="28"/>
      <c r="C363" s="1"/>
      <c r="D363" s="18"/>
      <c r="E363" s="1"/>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4.25" customHeight="1" x14ac:dyDescent="0.2">
      <c r="A364" s="28"/>
      <c r="B364" s="28"/>
      <c r="C364" s="1"/>
      <c r="D364" s="18"/>
      <c r="E364" s="1"/>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4.25" customHeight="1" x14ac:dyDescent="0.2">
      <c r="A365" s="28"/>
      <c r="B365" s="28"/>
      <c r="C365" s="1"/>
      <c r="D365" s="18"/>
      <c r="E365" s="1"/>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4.25" customHeight="1" x14ac:dyDescent="0.2">
      <c r="A366" s="28"/>
      <c r="B366" s="28"/>
      <c r="C366" s="1"/>
      <c r="D366" s="18"/>
      <c r="E366" s="1"/>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4.25" customHeight="1" x14ac:dyDescent="0.2">
      <c r="A367" s="28"/>
      <c r="B367" s="28"/>
      <c r="C367" s="1"/>
      <c r="D367" s="18"/>
      <c r="E367" s="1"/>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4.25" customHeight="1" x14ac:dyDescent="0.2">
      <c r="A368" s="28"/>
      <c r="B368" s="28"/>
      <c r="C368" s="1"/>
      <c r="D368" s="18"/>
      <c r="E368" s="1"/>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4.25" customHeight="1" x14ac:dyDescent="0.2">
      <c r="A369" s="28"/>
      <c r="B369" s="28"/>
      <c r="C369" s="1"/>
      <c r="D369" s="18"/>
      <c r="E369" s="1"/>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4.25" customHeight="1" x14ac:dyDescent="0.2">
      <c r="A370" s="28"/>
      <c r="B370" s="28"/>
      <c r="C370" s="1"/>
      <c r="D370" s="18"/>
      <c r="E370" s="1"/>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4.25" customHeight="1" x14ac:dyDescent="0.2">
      <c r="A371" s="28"/>
      <c r="B371" s="28"/>
      <c r="C371" s="1"/>
      <c r="D371" s="18"/>
      <c r="E371" s="1"/>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4.25" customHeight="1" x14ac:dyDescent="0.2">
      <c r="A372" s="28"/>
      <c r="B372" s="28"/>
      <c r="C372" s="1"/>
      <c r="D372" s="18"/>
      <c r="E372" s="1"/>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4.25" customHeight="1" x14ac:dyDescent="0.2">
      <c r="A373" s="28"/>
      <c r="B373" s="28"/>
      <c r="C373" s="1"/>
      <c r="D373" s="18"/>
      <c r="E373" s="1"/>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4.25" customHeight="1" x14ac:dyDescent="0.2">
      <c r="A374" s="28"/>
      <c r="B374" s="28"/>
      <c r="C374" s="1"/>
      <c r="D374" s="18"/>
      <c r="E374" s="1"/>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4.25" customHeight="1" x14ac:dyDescent="0.2">
      <c r="A375" s="28"/>
      <c r="B375" s="28"/>
      <c r="C375" s="1"/>
      <c r="D375" s="18"/>
      <c r="E375" s="1"/>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4.25" customHeight="1" x14ac:dyDescent="0.2">
      <c r="A376" s="28"/>
      <c r="B376" s="28"/>
      <c r="C376" s="1"/>
      <c r="D376" s="18"/>
      <c r="E376" s="1"/>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4.25" customHeight="1" x14ac:dyDescent="0.2">
      <c r="A377" s="28"/>
      <c r="B377" s="28"/>
      <c r="C377" s="1"/>
      <c r="D377" s="18"/>
      <c r="E377" s="1"/>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4.25" customHeight="1" x14ac:dyDescent="0.2">
      <c r="A378" s="28"/>
      <c r="B378" s="28"/>
      <c r="C378" s="1"/>
      <c r="D378" s="18"/>
      <c r="E378" s="1"/>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4.25" customHeight="1" x14ac:dyDescent="0.2">
      <c r="A379" s="28"/>
      <c r="B379" s="28"/>
      <c r="C379" s="1"/>
      <c r="D379" s="18"/>
      <c r="E379" s="1"/>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4.25" customHeight="1" x14ac:dyDescent="0.2">
      <c r="A380" s="28"/>
      <c r="B380" s="28"/>
      <c r="C380" s="1"/>
      <c r="D380" s="18"/>
      <c r="E380" s="1"/>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4.25" customHeight="1" x14ac:dyDescent="0.2">
      <c r="A381" s="28"/>
      <c r="B381" s="28"/>
      <c r="C381" s="1"/>
      <c r="D381" s="18"/>
      <c r="E381" s="1"/>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4.25" customHeight="1" x14ac:dyDescent="0.2">
      <c r="A382" s="28"/>
      <c r="B382" s="28"/>
      <c r="C382" s="1"/>
      <c r="D382" s="18"/>
      <c r="E382" s="1"/>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4.25" customHeight="1" x14ac:dyDescent="0.2">
      <c r="A383" s="28"/>
      <c r="B383" s="28"/>
      <c r="C383" s="1"/>
      <c r="D383" s="18"/>
      <c r="E383" s="1"/>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4.25" customHeight="1" x14ac:dyDescent="0.2">
      <c r="A384" s="28"/>
      <c r="B384" s="28"/>
      <c r="C384" s="1"/>
      <c r="D384" s="18"/>
      <c r="E384" s="1"/>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4.25" customHeight="1" x14ac:dyDescent="0.2">
      <c r="A385" s="28"/>
      <c r="B385" s="28"/>
      <c r="C385" s="1"/>
      <c r="D385" s="18"/>
      <c r="E385" s="1"/>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4.25" customHeight="1" x14ac:dyDescent="0.2">
      <c r="A386" s="28"/>
      <c r="B386" s="28"/>
      <c r="C386" s="1"/>
      <c r="D386" s="18"/>
      <c r="E386" s="1"/>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4.25" customHeight="1" x14ac:dyDescent="0.2">
      <c r="A387" s="28"/>
      <c r="B387" s="28"/>
      <c r="C387" s="1"/>
      <c r="D387" s="18"/>
      <c r="E387" s="1"/>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4.25" customHeight="1" x14ac:dyDescent="0.2">
      <c r="A388" s="28"/>
      <c r="B388" s="28"/>
      <c r="C388" s="1"/>
      <c r="D388" s="18"/>
      <c r="E388" s="1"/>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4.25" customHeight="1" x14ac:dyDescent="0.2">
      <c r="A389" s="28"/>
      <c r="B389" s="28"/>
      <c r="C389" s="1"/>
      <c r="D389" s="18"/>
      <c r="E389" s="1"/>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4.25" customHeight="1" x14ac:dyDescent="0.2">
      <c r="A390" s="28"/>
      <c r="B390" s="28"/>
      <c r="C390" s="1"/>
      <c r="D390" s="18"/>
      <c r="E390" s="1"/>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4.25" customHeight="1" x14ac:dyDescent="0.2">
      <c r="A391" s="28"/>
      <c r="B391" s="28"/>
      <c r="C391" s="1"/>
      <c r="D391" s="18"/>
      <c r="E391" s="1"/>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4.25" customHeight="1" x14ac:dyDescent="0.2">
      <c r="A392" s="28"/>
      <c r="B392" s="28"/>
      <c r="C392" s="1"/>
      <c r="D392" s="18"/>
      <c r="E392" s="1"/>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4.25" customHeight="1" x14ac:dyDescent="0.2">
      <c r="A393" s="28"/>
      <c r="B393" s="28"/>
      <c r="C393" s="1"/>
      <c r="D393" s="18"/>
      <c r="E393" s="1"/>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4.25" customHeight="1" x14ac:dyDescent="0.2">
      <c r="A394" s="28"/>
      <c r="B394" s="28"/>
      <c r="C394" s="1"/>
      <c r="D394" s="18"/>
      <c r="E394" s="1"/>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4.25" customHeight="1" x14ac:dyDescent="0.2">
      <c r="A395" s="28"/>
      <c r="B395" s="28"/>
      <c r="C395" s="1"/>
      <c r="D395" s="18"/>
      <c r="E395" s="1"/>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4.25" customHeight="1" x14ac:dyDescent="0.2">
      <c r="A396" s="28"/>
      <c r="B396" s="28"/>
      <c r="C396" s="1"/>
      <c r="D396" s="18"/>
      <c r="E396" s="1"/>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4.25" customHeight="1" x14ac:dyDescent="0.2">
      <c r="A397" s="28"/>
      <c r="B397" s="28"/>
      <c r="C397" s="1"/>
      <c r="D397" s="18"/>
      <c r="E397" s="1"/>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4.25" customHeight="1" x14ac:dyDescent="0.2">
      <c r="A398" s="28"/>
      <c r="B398" s="28"/>
      <c r="C398" s="1"/>
      <c r="D398" s="18"/>
      <c r="E398" s="1"/>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4.25" customHeight="1" x14ac:dyDescent="0.2">
      <c r="A399" s="28"/>
      <c r="B399" s="28"/>
      <c r="C399" s="1"/>
      <c r="D399" s="18"/>
      <c r="E399" s="1"/>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4.25" customHeight="1" x14ac:dyDescent="0.2">
      <c r="A400" s="28"/>
      <c r="B400" s="28"/>
      <c r="C400" s="1"/>
      <c r="D400" s="18"/>
      <c r="E400" s="1"/>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4.25" customHeight="1" x14ac:dyDescent="0.2">
      <c r="A401" s="28"/>
      <c r="B401" s="28"/>
      <c r="C401" s="1"/>
      <c r="D401" s="18"/>
      <c r="E401" s="1"/>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4.25" customHeight="1" x14ac:dyDescent="0.2">
      <c r="A402" s="28"/>
      <c r="B402" s="28"/>
      <c r="C402" s="1"/>
      <c r="D402" s="18"/>
      <c r="E402" s="1"/>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4.25" customHeight="1" x14ac:dyDescent="0.2">
      <c r="A403" s="28"/>
      <c r="B403" s="28"/>
      <c r="C403" s="1"/>
      <c r="D403" s="18"/>
      <c r="E403" s="1"/>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4.25" customHeight="1" x14ac:dyDescent="0.2">
      <c r="A404" s="28"/>
      <c r="B404" s="28"/>
      <c r="C404" s="1"/>
      <c r="D404" s="18"/>
      <c r="E404" s="1"/>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4.25" customHeight="1" x14ac:dyDescent="0.2">
      <c r="A405" s="28"/>
      <c r="B405" s="28"/>
      <c r="C405" s="1"/>
      <c r="D405" s="18"/>
      <c r="E405" s="1"/>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4.25" customHeight="1" x14ac:dyDescent="0.2">
      <c r="A406" s="28"/>
      <c r="B406" s="28"/>
      <c r="C406" s="1"/>
      <c r="D406" s="18"/>
      <c r="E406" s="1"/>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4.25" customHeight="1" x14ac:dyDescent="0.2">
      <c r="A407" s="28"/>
      <c r="B407" s="28"/>
      <c r="C407" s="1"/>
      <c r="D407" s="18"/>
      <c r="E407" s="1"/>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4.25" customHeight="1" x14ac:dyDescent="0.2">
      <c r="A408" s="28"/>
      <c r="B408" s="28"/>
      <c r="C408" s="1"/>
      <c r="D408" s="18"/>
      <c r="E408" s="1"/>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4.25" customHeight="1" x14ac:dyDescent="0.2">
      <c r="A409" s="28"/>
      <c r="B409" s="28"/>
      <c r="C409" s="1"/>
      <c r="D409" s="18"/>
      <c r="E409" s="1"/>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4.25" customHeight="1" x14ac:dyDescent="0.2">
      <c r="A410" s="28"/>
      <c r="B410" s="28"/>
      <c r="C410" s="1"/>
      <c r="D410" s="18"/>
      <c r="E410" s="1"/>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4.25" customHeight="1" x14ac:dyDescent="0.2">
      <c r="A411" s="28"/>
      <c r="B411" s="28"/>
      <c r="C411" s="1"/>
      <c r="D411" s="18"/>
      <c r="E411" s="1"/>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4.25" customHeight="1" x14ac:dyDescent="0.2">
      <c r="A412" s="28"/>
      <c r="B412" s="28"/>
      <c r="C412" s="1"/>
      <c r="D412" s="18"/>
      <c r="E412" s="1"/>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4.25" customHeight="1" x14ac:dyDescent="0.2">
      <c r="A413" s="28"/>
      <c r="B413" s="28"/>
      <c r="C413" s="1"/>
      <c r="D413" s="18"/>
      <c r="E413" s="1"/>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4.25" customHeight="1" x14ac:dyDescent="0.2">
      <c r="A414" s="28"/>
      <c r="B414" s="28"/>
      <c r="C414" s="1"/>
      <c r="D414" s="18"/>
      <c r="E414" s="1"/>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4.25" customHeight="1" x14ac:dyDescent="0.2">
      <c r="A415" s="28"/>
      <c r="B415" s="28"/>
      <c r="C415" s="1"/>
      <c r="D415" s="18"/>
      <c r="E415" s="1"/>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4.25" customHeight="1" x14ac:dyDescent="0.2">
      <c r="A416" s="28"/>
      <c r="B416" s="28"/>
      <c r="C416" s="1"/>
      <c r="D416" s="18"/>
      <c r="E416" s="1"/>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4.25" customHeight="1" x14ac:dyDescent="0.2">
      <c r="A417" s="28"/>
      <c r="B417" s="28"/>
      <c r="C417" s="1"/>
      <c r="D417" s="18"/>
      <c r="E417" s="1"/>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4.25" customHeight="1" x14ac:dyDescent="0.2">
      <c r="A418" s="28"/>
      <c r="B418" s="28"/>
      <c r="C418" s="1"/>
      <c r="D418" s="18"/>
      <c r="E418" s="1"/>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4.25" customHeight="1" x14ac:dyDescent="0.2">
      <c r="A419" s="28"/>
      <c r="B419" s="28"/>
      <c r="C419" s="1"/>
      <c r="D419" s="18"/>
      <c r="E419" s="1"/>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4.25" customHeight="1" x14ac:dyDescent="0.2">
      <c r="A420" s="28"/>
      <c r="B420" s="28"/>
      <c r="C420" s="1"/>
      <c r="D420" s="18"/>
      <c r="E420" s="1"/>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4.25" customHeight="1" x14ac:dyDescent="0.2">
      <c r="A421" s="28"/>
      <c r="B421" s="28"/>
      <c r="C421" s="1"/>
      <c r="D421" s="18"/>
      <c r="E421" s="1"/>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4.25" customHeight="1" x14ac:dyDescent="0.2">
      <c r="A422" s="28"/>
      <c r="B422" s="28"/>
      <c r="C422" s="1"/>
      <c r="D422" s="18"/>
      <c r="E422" s="1"/>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4.25" customHeight="1" x14ac:dyDescent="0.2">
      <c r="A423" s="28"/>
      <c r="B423" s="28"/>
      <c r="C423" s="1"/>
      <c r="D423" s="18"/>
      <c r="E423" s="1"/>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4.25" customHeight="1" x14ac:dyDescent="0.2">
      <c r="A424" s="28"/>
      <c r="B424" s="28"/>
      <c r="C424" s="1"/>
      <c r="D424" s="18"/>
      <c r="E424" s="1"/>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4.25" customHeight="1" x14ac:dyDescent="0.2">
      <c r="A425" s="28"/>
      <c r="B425" s="28"/>
      <c r="C425" s="1"/>
      <c r="D425" s="18"/>
      <c r="E425" s="1"/>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4.25" customHeight="1" x14ac:dyDescent="0.2">
      <c r="A426" s="28"/>
      <c r="B426" s="28"/>
      <c r="C426" s="1"/>
      <c r="D426" s="18"/>
      <c r="E426" s="1"/>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4.25" customHeight="1" x14ac:dyDescent="0.2">
      <c r="A427" s="28"/>
      <c r="B427" s="28"/>
      <c r="C427" s="1"/>
      <c r="D427" s="18"/>
      <c r="E427" s="1"/>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4.25" customHeight="1" x14ac:dyDescent="0.2">
      <c r="A428" s="28"/>
      <c r="B428" s="28"/>
      <c r="C428" s="1"/>
      <c r="D428" s="18"/>
      <c r="E428" s="1"/>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4.25" customHeight="1" x14ac:dyDescent="0.2">
      <c r="A429" s="28"/>
      <c r="B429" s="28"/>
      <c r="C429" s="1"/>
      <c r="D429" s="18"/>
      <c r="E429" s="1"/>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4.25" customHeight="1" x14ac:dyDescent="0.2">
      <c r="A430" s="28"/>
      <c r="B430" s="28"/>
      <c r="C430" s="1"/>
      <c r="D430" s="18"/>
      <c r="E430" s="1"/>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4.25" customHeight="1" x14ac:dyDescent="0.2">
      <c r="A431" s="28"/>
      <c r="B431" s="28"/>
      <c r="C431" s="1"/>
      <c r="D431" s="18"/>
      <c r="E431" s="1"/>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4.25" customHeight="1" x14ac:dyDescent="0.2">
      <c r="A432" s="28"/>
      <c r="B432" s="28"/>
      <c r="C432" s="1"/>
      <c r="D432" s="18"/>
      <c r="E432" s="1"/>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4.25" customHeight="1" x14ac:dyDescent="0.2">
      <c r="A433" s="28"/>
      <c r="B433" s="28"/>
      <c r="C433" s="1"/>
      <c r="D433" s="18"/>
      <c r="E433" s="1"/>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4.25" customHeight="1" x14ac:dyDescent="0.2">
      <c r="A434" s="28"/>
      <c r="B434" s="28"/>
      <c r="C434" s="1"/>
      <c r="D434" s="18"/>
      <c r="E434" s="1"/>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4.25" customHeight="1" x14ac:dyDescent="0.2">
      <c r="A435" s="28"/>
      <c r="B435" s="28"/>
      <c r="C435" s="1"/>
      <c r="D435" s="18"/>
      <c r="E435" s="1"/>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4.25" customHeight="1" x14ac:dyDescent="0.2">
      <c r="A436" s="28"/>
      <c r="B436" s="28"/>
      <c r="C436" s="1"/>
      <c r="D436" s="18"/>
      <c r="E436" s="1"/>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4.25" customHeight="1" x14ac:dyDescent="0.2">
      <c r="A437" s="28"/>
      <c r="B437" s="28"/>
      <c r="C437" s="1"/>
      <c r="D437" s="18"/>
      <c r="E437" s="1"/>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4.25" customHeight="1" x14ac:dyDescent="0.2">
      <c r="A438" s="28"/>
      <c r="B438" s="28"/>
      <c r="C438" s="1"/>
      <c r="D438" s="18"/>
      <c r="E438" s="1"/>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4.25" customHeight="1" x14ac:dyDescent="0.2">
      <c r="A439" s="28"/>
      <c r="B439" s="28"/>
      <c r="C439" s="1"/>
      <c r="D439" s="18"/>
      <c r="E439" s="1"/>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4.25" customHeight="1" x14ac:dyDescent="0.2">
      <c r="A440" s="28"/>
      <c r="B440" s="28"/>
      <c r="C440" s="1"/>
      <c r="D440" s="18"/>
      <c r="E440" s="1"/>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4.25" customHeight="1" x14ac:dyDescent="0.2">
      <c r="A441" s="28"/>
      <c r="B441" s="28"/>
      <c r="C441" s="1"/>
      <c r="D441" s="18"/>
      <c r="E441" s="1"/>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4.25" customHeight="1" x14ac:dyDescent="0.2">
      <c r="A442" s="28"/>
      <c r="B442" s="28"/>
      <c r="C442" s="1"/>
      <c r="D442" s="18"/>
      <c r="E442" s="1"/>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4.25" customHeight="1" x14ac:dyDescent="0.2">
      <c r="A443" s="28"/>
      <c r="B443" s="28"/>
      <c r="C443" s="1"/>
      <c r="D443" s="18"/>
      <c r="E443" s="1"/>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4.25" customHeight="1" x14ac:dyDescent="0.2">
      <c r="A444" s="28"/>
      <c r="B444" s="28"/>
      <c r="C444" s="1"/>
      <c r="D444" s="18"/>
      <c r="E444" s="1"/>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4.25" customHeight="1" x14ac:dyDescent="0.2">
      <c r="A445" s="28"/>
      <c r="B445" s="28"/>
      <c r="C445" s="1"/>
      <c r="D445" s="18"/>
      <c r="E445" s="1"/>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4.25" customHeight="1" x14ac:dyDescent="0.2">
      <c r="A446" s="28"/>
      <c r="B446" s="28"/>
      <c r="C446" s="1"/>
      <c r="D446" s="18"/>
      <c r="E446" s="1"/>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4.25" customHeight="1" x14ac:dyDescent="0.2">
      <c r="A447" s="28"/>
      <c r="B447" s="28"/>
      <c r="C447" s="1"/>
      <c r="D447" s="18"/>
      <c r="E447" s="1"/>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4.25" customHeight="1" x14ac:dyDescent="0.2">
      <c r="A448" s="28"/>
      <c r="B448" s="28"/>
      <c r="C448" s="1"/>
      <c r="D448" s="18"/>
      <c r="E448" s="1"/>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4.25" customHeight="1" x14ac:dyDescent="0.2">
      <c r="A449" s="28"/>
      <c r="B449" s="28"/>
      <c r="C449" s="1"/>
      <c r="D449" s="18"/>
      <c r="E449" s="1"/>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4.25" customHeight="1" x14ac:dyDescent="0.2">
      <c r="A450" s="28"/>
      <c r="B450" s="28"/>
      <c r="C450" s="1"/>
      <c r="D450" s="18"/>
      <c r="E450" s="1"/>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4.25" customHeight="1" x14ac:dyDescent="0.2">
      <c r="A451" s="28"/>
      <c r="B451" s="28"/>
      <c r="C451" s="1"/>
      <c r="D451" s="18"/>
      <c r="E451" s="1"/>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4.25" customHeight="1" x14ac:dyDescent="0.2">
      <c r="A452" s="28"/>
      <c r="B452" s="28"/>
      <c r="C452" s="1"/>
      <c r="D452" s="18"/>
      <c r="E452" s="1"/>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4.25" customHeight="1" x14ac:dyDescent="0.2">
      <c r="A453" s="28"/>
      <c r="B453" s="28"/>
      <c r="C453" s="1"/>
      <c r="D453" s="18"/>
      <c r="E453" s="1"/>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4.25" customHeight="1" x14ac:dyDescent="0.2">
      <c r="A454" s="28"/>
      <c r="B454" s="28"/>
      <c r="C454" s="1"/>
      <c r="D454" s="18"/>
      <c r="E454" s="1"/>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4.25" customHeight="1" x14ac:dyDescent="0.2">
      <c r="A455" s="28"/>
      <c r="B455" s="28"/>
      <c r="C455" s="1"/>
      <c r="D455" s="18"/>
      <c r="E455" s="1"/>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4.25" customHeight="1" x14ac:dyDescent="0.2">
      <c r="A456" s="28"/>
      <c r="B456" s="28"/>
      <c r="C456" s="1"/>
      <c r="D456" s="18"/>
      <c r="E456" s="1"/>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4.25" customHeight="1" x14ac:dyDescent="0.2">
      <c r="A457" s="28"/>
      <c r="B457" s="28"/>
      <c r="C457" s="1"/>
      <c r="D457" s="18"/>
      <c r="E457" s="1"/>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4.25" customHeight="1" x14ac:dyDescent="0.2">
      <c r="A458" s="28"/>
      <c r="B458" s="28"/>
      <c r="C458" s="1"/>
      <c r="D458" s="18"/>
      <c r="E458" s="1"/>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4.25" customHeight="1" x14ac:dyDescent="0.2">
      <c r="A459" s="28"/>
      <c r="B459" s="28"/>
      <c r="C459" s="1"/>
      <c r="D459" s="18"/>
      <c r="E459" s="1"/>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4.25" customHeight="1" x14ac:dyDescent="0.2">
      <c r="A460" s="28"/>
      <c r="B460" s="28"/>
      <c r="C460" s="1"/>
      <c r="D460" s="18"/>
      <c r="E460" s="1"/>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4.25" customHeight="1" x14ac:dyDescent="0.2">
      <c r="A461" s="28"/>
      <c r="B461" s="28"/>
      <c r="C461" s="1"/>
      <c r="D461" s="18"/>
      <c r="E461" s="1"/>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4.25" customHeight="1" x14ac:dyDescent="0.2">
      <c r="A462" s="28"/>
      <c r="B462" s="28"/>
      <c r="C462" s="1"/>
      <c r="D462" s="18"/>
      <c r="E462" s="1"/>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4.25" customHeight="1" x14ac:dyDescent="0.2">
      <c r="A463" s="28"/>
      <c r="B463" s="28"/>
      <c r="C463" s="1"/>
      <c r="D463" s="18"/>
      <c r="E463" s="1"/>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4.25" customHeight="1" x14ac:dyDescent="0.2">
      <c r="A464" s="28"/>
      <c r="B464" s="28"/>
      <c r="C464" s="1"/>
      <c r="D464" s="18"/>
      <c r="E464" s="1"/>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4.25" customHeight="1" x14ac:dyDescent="0.2">
      <c r="A465" s="28"/>
      <c r="B465" s="28"/>
      <c r="C465" s="1"/>
      <c r="D465" s="18"/>
      <c r="E465" s="1"/>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4.25" customHeight="1" x14ac:dyDescent="0.2">
      <c r="A466" s="28"/>
      <c r="B466" s="28"/>
      <c r="C466" s="1"/>
      <c r="D466" s="18"/>
      <c r="E466" s="1"/>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4.25" customHeight="1" x14ac:dyDescent="0.2">
      <c r="A467" s="28"/>
      <c r="B467" s="28"/>
      <c r="C467" s="1"/>
      <c r="D467" s="18"/>
      <c r="E467" s="1"/>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4.25" customHeight="1" x14ac:dyDescent="0.2">
      <c r="A468" s="28"/>
      <c r="B468" s="28"/>
      <c r="C468" s="1"/>
      <c r="D468" s="18"/>
      <c r="E468" s="1"/>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4.25" customHeight="1" x14ac:dyDescent="0.2">
      <c r="A469" s="28"/>
      <c r="B469" s="28"/>
      <c r="C469" s="1"/>
      <c r="D469" s="18"/>
      <c r="E469" s="1"/>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4.25" customHeight="1" x14ac:dyDescent="0.2">
      <c r="A470" s="28"/>
      <c r="B470" s="28"/>
      <c r="C470" s="1"/>
      <c r="D470" s="18"/>
      <c r="E470" s="1"/>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4.25" customHeight="1" x14ac:dyDescent="0.2">
      <c r="A471" s="28"/>
      <c r="B471" s="28"/>
      <c r="C471" s="1"/>
      <c r="D471" s="18"/>
      <c r="E471" s="1"/>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4.25" customHeight="1" x14ac:dyDescent="0.2">
      <c r="A472" s="28"/>
      <c r="B472" s="28"/>
      <c r="C472" s="1"/>
      <c r="D472" s="18"/>
      <c r="E472" s="1"/>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4.25" customHeight="1" x14ac:dyDescent="0.2">
      <c r="A473" s="28"/>
      <c r="B473" s="28"/>
      <c r="C473" s="1"/>
      <c r="D473" s="18"/>
      <c r="E473" s="1"/>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4.25" customHeight="1" x14ac:dyDescent="0.2">
      <c r="A474" s="28"/>
      <c r="B474" s="28"/>
      <c r="C474" s="1"/>
      <c r="D474" s="18"/>
      <c r="E474" s="1"/>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4.25" customHeight="1" x14ac:dyDescent="0.2">
      <c r="A475" s="28"/>
      <c r="B475" s="28"/>
      <c r="C475" s="1"/>
      <c r="D475" s="18"/>
      <c r="E475" s="1"/>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4.25" customHeight="1" x14ac:dyDescent="0.2">
      <c r="A476" s="28"/>
      <c r="B476" s="28"/>
      <c r="C476" s="1"/>
      <c r="D476" s="18"/>
      <c r="E476" s="1"/>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4.25" customHeight="1" x14ac:dyDescent="0.2">
      <c r="A477" s="28"/>
      <c r="B477" s="28"/>
      <c r="C477" s="1"/>
      <c r="D477" s="18"/>
      <c r="E477" s="1"/>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4.25" customHeight="1" x14ac:dyDescent="0.2">
      <c r="A478" s="28"/>
      <c r="B478" s="28"/>
      <c r="C478" s="1"/>
      <c r="D478" s="18"/>
      <c r="E478" s="1"/>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4.25" customHeight="1" x14ac:dyDescent="0.2">
      <c r="A479" s="28"/>
      <c r="B479" s="28"/>
      <c r="C479" s="1"/>
      <c r="D479" s="18"/>
      <c r="E479" s="1"/>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4.25" customHeight="1" x14ac:dyDescent="0.2">
      <c r="A480" s="28"/>
      <c r="B480" s="28"/>
      <c r="C480" s="1"/>
      <c r="D480" s="18"/>
      <c r="E480" s="1"/>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4.25" customHeight="1" x14ac:dyDescent="0.2">
      <c r="A481" s="28"/>
      <c r="B481" s="28"/>
      <c r="C481" s="1"/>
      <c r="D481" s="18"/>
      <c r="E481" s="1"/>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4.25" customHeight="1" x14ac:dyDescent="0.2">
      <c r="A482" s="28"/>
      <c r="B482" s="28"/>
      <c r="C482" s="1"/>
      <c r="D482" s="18"/>
      <c r="E482" s="1"/>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4.25" customHeight="1" x14ac:dyDescent="0.2">
      <c r="A483" s="28"/>
      <c r="B483" s="28"/>
      <c r="C483" s="1"/>
      <c r="D483" s="18"/>
      <c r="E483" s="1"/>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4.25" customHeight="1" x14ac:dyDescent="0.2">
      <c r="A484" s="28"/>
      <c r="B484" s="28"/>
      <c r="C484" s="1"/>
      <c r="D484" s="18"/>
      <c r="E484" s="1"/>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4.25" customHeight="1" x14ac:dyDescent="0.2">
      <c r="A485" s="28"/>
      <c r="B485" s="28"/>
      <c r="C485" s="1"/>
      <c r="D485" s="18"/>
      <c r="E485" s="1"/>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4.25" customHeight="1" x14ac:dyDescent="0.2">
      <c r="A486" s="28"/>
      <c r="B486" s="28"/>
      <c r="C486" s="1"/>
      <c r="D486" s="18"/>
      <c r="E486" s="1"/>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4.25" customHeight="1" x14ac:dyDescent="0.2">
      <c r="A487" s="28"/>
      <c r="B487" s="28"/>
      <c r="C487" s="1"/>
      <c r="D487" s="18"/>
      <c r="E487" s="1"/>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4.25" customHeight="1" x14ac:dyDescent="0.2">
      <c r="A488" s="28"/>
      <c r="B488" s="28"/>
      <c r="C488" s="1"/>
      <c r="D488" s="18"/>
      <c r="E488" s="1"/>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4.25" customHeight="1" x14ac:dyDescent="0.2">
      <c r="A489" s="28"/>
      <c r="B489" s="28"/>
      <c r="C489" s="1"/>
      <c r="D489" s="18"/>
      <c r="E489" s="1"/>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4.25" customHeight="1" x14ac:dyDescent="0.2">
      <c r="A490" s="28"/>
      <c r="B490" s="28"/>
      <c r="C490" s="1"/>
      <c r="D490" s="18"/>
      <c r="E490" s="1"/>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4.25" customHeight="1" x14ac:dyDescent="0.2">
      <c r="A491" s="28"/>
      <c r="B491" s="28"/>
      <c r="C491" s="1"/>
      <c r="D491" s="18"/>
      <c r="E491" s="1"/>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4.25" customHeight="1" x14ac:dyDescent="0.2">
      <c r="A492" s="28"/>
      <c r="B492" s="28"/>
      <c r="C492" s="1"/>
      <c r="D492" s="18"/>
      <c r="E492" s="1"/>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4.25" customHeight="1" x14ac:dyDescent="0.2">
      <c r="A493" s="28"/>
      <c r="B493" s="28"/>
      <c r="C493" s="1"/>
      <c r="D493" s="18"/>
      <c r="E493" s="1"/>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4.25" customHeight="1" x14ac:dyDescent="0.2">
      <c r="A494" s="28"/>
      <c r="B494" s="28"/>
      <c r="C494" s="1"/>
      <c r="D494" s="18"/>
      <c r="E494" s="1"/>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4.25" customHeight="1" x14ac:dyDescent="0.2">
      <c r="A495" s="28"/>
      <c r="B495" s="28"/>
      <c r="C495" s="1"/>
      <c r="D495" s="18"/>
      <c r="E495" s="1"/>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4.25" customHeight="1" x14ac:dyDescent="0.2">
      <c r="A496" s="28"/>
      <c r="B496" s="28"/>
      <c r="C496" s="1"/>
      <c r="D496" s="18"/>
      <c r="E496" s="1"/>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4.25" customHeight="1" x14ac:dyDescent="0.2">
      <c r="A497" s="28"/>
      <c r="B497" s="28"/>
      <c r="C497" s="1"/>
      <c r="D497" s="18"/>
      <c r="E497" s="1"/>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4.25" customHeight="1" x14ac:dyDescent="0.2">
      <c r="A498" s="28"/>
      <c r="B498" s="28"/>
      <c r="C498" s="1"/>
      <c r="D498" s="18"/>
      <c r="E498" s="1"/>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4.25" customHeight="1" x14ac:dyDescent="0.2">
      <c r="A499" s="28"/>
      <c r="B499" s="28"/>
      <c r="C499" s="1"/>
      <c r="D499" s="18"/>
      <c r="E499" s="1"/>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4.25" customHeight="1" x14ac:dyDescent="0.2">
      <c r="A500" s="28"/>
      <c r="B500" s="28"/>
      <c r="C500" s="1"/>
      <c r="D500" s="18"/>
      <c r="E500" s="1"/>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4.25" customHeight="1" x14ac:dyDescent="0.2">
      <c r="A501" s="28"/>
      <c r="B501" s="28"/>
      <c r="C501" s="1"/>
      <c r="D501" s="18"/>
      <c r="E501" s="1"/>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4.25" customHeight="1" x14ac:dyDescent="0.2">
      <c r="A502" s="28"/>
      <c r="B502" s="28"/>
      <c r="C502" s="1"/>
      <c r="D502" s="18"/>
      <c r="E502" s="1"/>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4.25" customHeight="1" x14ac:dyDescent="0.2">
      <c r="A503" s="28"/>
      <c r="B503" s="28"/>
      <c r="C503" s="1"/>
      <c r="D503" s="18"/>
      <c r="E503" s="1"/>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4.25" customHeight="1" x14ac:dyDescent="0.2">
      <c r="A504" s="28"/>
      <c r="B504" s="28"/>
      <c r="C504" s="1"/>
      <c r="D504" s="18"/>
      <c r="E504" s="1"/>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4.25" customHeight="1" x14ac:dyDescent="0.2">
      <c r="A505" s="28"/>
      <c r="B505" s="28"/>
      <c r="C505" s="1"/>
      <c r="D505" s="18"/>
      <c r="E505" s="1"/>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4.25" customHeight="1" x14ac:dyDescent="0.2">
      <c r="A506" s="28"/>
      <c r="B506" s="28"/>
      <c r="C506" s="1"/>
      <c r="D506" s="18"/>
      <c r="E506" s="1"/>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4.25" customHeight="1" x14ac:dyDescent="0.2">
      <c r="A507" s="28"/>
      <c r="B507" s="28"/>
      <c r="C507" s="1"/>
      <c r="D507" s="18"/>
      <c r="E507" s="1"/>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4.25" customHeight="1" x14ac:dyDescent="0.2">
      <c r="A508" s="28"/>
      <c r="B508" s="28"/>
      <c r="C508" s="1"/>
      <c r="D508" s="18"/>
      <c r="E508" s="1"/>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4.25" customHeight="1" x14ac:dyDescent="0.2">
      <c r="A509" s="28"/>
      <c r="B509" s="28"/>
      <c r="C509" s="1"/>
      <c r="D509" s="18"/>
      <c r="E509" s="1"/>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4.25" customHeight="1" x14ac:dyDescent="0.2">
      <c r="A510" s="28"/>
      <c r="B510" s="28"/>
      <c r="C510" s="1"/>
      <c r="D510" s="18"/>
      <c r="E510" s="1"/>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4.25" customHeight="1" x14ac:dyDescent="0.2">
      <c r="A511" s="28"/>
      <c r="B511" s="28"/>
      <c r="C511" s="1"/>
      <c r="D511" s="18"/>
      <c r="E511" s="1"/>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4.25" customHeight="1" x14ac:dyDescent="0.2">
      <c r="A512" s="28"/>
      <c r="B512" s="28"/>
      <c r="C512" s="1"/>
      <c r="D512" s="18"/>
      <c r="E512" s="1"/>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4.25" customHeight="1" x14ac:dyDescent="0.2">
      <c r="A513" s="28"/>
      <c r="B513" s="28"/>
      <c r="C513" s="1"/>
      <c r="D513" s="18"/>
      <c r="E513" s="1"/>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4.25" customHeight="1" x14ac:dyDescent="0.2">
      <c r="A514" s="28"/>
      <c r="B514" s="28"/>
      <c r="C514" s="1"/>
      <c r="D514" s="18"/>
      <c r="E514" s="1"/>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4.25" customHeight="1" x14ac:dyDescent="0.2">
      <c r="A515" s="28"/>
      <c r="B515" s="28"/>
      <c r="C515" s="1"/>
      <c r="D515" s="18"/>
      <c r="E515" s="1"/>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4.25" customHeight="1" x14ac:dyDescent="0.2">
      <c r="A516" s="28"/>
      <c r="B516" s="28"/>
      <c r="C516" s="1"/>
      <c r="D516" s="18"/>
      <c r="E516" s="1"/>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4.25" customHeight="1" x14ac:dyDescent="0.2">
      <c r="A517" s="28"/>
      <c r="B517" s="28"/>
      <c r="C517" s="1"/>
      <c r="D517" s="18"/>
      <c r="E517" s="1"/>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4.25" customHeight="1" x14ac:dyDescent="0.2">
      <c r="A518" s="28"/>
      <c r="B518" s="28"/>
      <c r="C518" s="1"/>
      <c r="D518" s="18"/>
      <c r="E518" s="1"/>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4.25" customHeight="1" x14ac:dyDescent="0.2">
      <c r="A519" s="28"/>
      <c r="B519" s="28"/>
      <c r="C519" s="1"/>
      <c r="D519" s="18"/>
      <c r="E519" s="1"/>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4.25" customHeight="1" x14ac:dyDescent="0.2">
      <c r="A520" s="28"/>
      <c r="B520" s="28"/>
      <c r="C520" s="1"/>
      <c r="D520" s="18"/>
      <c r="E520" s="1"/>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4.25" customHeight="1" x14ac:dyDescent="0.2">
      <c r="A521" s="28"/>
      <c r="B521" s="28"/>
      <c r="C521" s="1"/>
      <c r="D521" s="18"/>
      <c r="E521" s="1"/>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4.25" customHeight="1" x14ac:dyDescent="0.2">
      <c r="A522" s="28"/>
      <c r="B522" s="28"/>
      <c r="C522" s="1"/>
      <c r="D522" s="18"/>
      <c r="E522" s="1"/>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4.25" customHeight="1" x14ac:dyDescent="0.2">
      <c r="A523" s="28"/>
      <c r="B523" s="28"/>
      <c r="C523" s="1"/>
      <c r="D523" s="18"/>
      <c r="E523" s="1"/>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4.25" customHeight="1" x14ac:dyDescent="0.2">
      <c r="A524" s="28"/>
      <c r="B524" s="28"/>
      <c r="C524" s="1"/>
      <c r="D524" s="18"/>
      <c r="E524" s="1"/>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4.25" customHeight="1" x14ac:dyDescent="0.2">
      <c r="A525" s="28"/>
      <c r="B525" s="28"/>
      <c r="C525" s="1"/>
      <c r="D525" s="18"/>
      <c r="E525" s="1"/>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4.25" customHeight="1" x14ac:dyDescent="0.2">
      <c r="A526" s="28"/>
      <c r="B526" s="28"/>
      <c r="C526" s="1"/>
      <c r="D526" s="18"/>
      <c r="E526" s="1"/>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4.25" customHeight="1" x14ac:dyDescent="0.2">
      <c r="A527" s="28"/>
      <c r="B527" s="28"/>
      <c r="C527" s="1"/>
      <c r="D527" s="18"/>
      <c r="E527" s="1"/>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4.25" customHeight="1" x14ac:dyDescent="0.2">
      <c r="A528" s="28"/>
      <c r="B528" s="28"/>
      <c r="C528" s="1"/>
      <c r="D528" s="18"/>
      <c r="E528" s="1"/>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4.25" customHeight="1" x14ac:dyDescent="0.2">
      <c r="A529" s="28"/>
      <c r="B529" s="28"/>
      <c r="C529" s="1"/>
      <c r="D529" s="18"/>
      <c r="E529" s="1"/>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4.25" customHeight="1" x14ac:dyDescent="0.2">
      <c r="A530" s="28"/>
      <c r="B530" s="28"/>
      <c r="C530" s="1"/>
      <c r="D530" s="18"/>
      <c r="E530" s="1"/>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4.25" customHeight="1" x14ac:dyDescent="0.2">
      <c r="A531" s="28"/>
      <c r="B531" s="28"/>
      <c r="C531" s="1"/>
      <c r="D531" s="18"/>
      <c r="E531" s="1"/>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4.25" customHeight="1" x14ac:dyDescent="0.2">
      <c r="A532" s="28"/>
      <c r="B532" s="28"/>
      <c r="C532" s="1"/>
      <c r="D532" s="18"/>
      <c r="E532" s="1"/>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4.25" customHeight="1" x14ac:dyDescent="0.2">
      <c r="A533" s="28"/>
      <c r="B533" s="28"/>
      <c r="C533" s="1"/>
      <c r="D533" s="18"/>
      <c r="E533" s="1"/>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4.25" customHeight="1" x14ac:dyDescent="0.2">
      <c r="A534" s="28"/>
      <c r="B534" s="28"/>
      <c r="C534" s="1"/>
      <c r="D534" s="18"/>
      <c r="E534" s="1"/>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4.25" customHeight="1" x14ac:dyDescent="0.2">
      <c r="A535" s="28"/>
      <c r="B535" s="28"/>
      <c r="C535" s="1"/>
      <c r="D535" s="18"/>
      <c r="E535" s="1"/>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4.25" customHeight="1" x14ac:dyDescent="0.2">
      <c r="A536" s="28"/>
      <c r="B536" s="28"/>
      <c r="C536" s="1"/>
      <c r="D536" s="18"/>
      <c r="E536" s="1"/>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4.25" customHeight="1" x14ac:dyDescent="0.2">
      <c r="A537" s="28"/>
      <c r="B537" s="28"/>
      <c r="C537" s="1"/>
      <c r="D537" s="18"/>
      <c r="E537" s="1"/>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4.25" customHeight="1" x14ac:dyDescent="0.2">
      <c r="A538" s="28"/>
      <c r="B538" s="28"/>
      <c r="C538" s="1"/>
      <c r="D538" s="18"/>
      <c r="E538" s="1"/>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4.25" customHeight="1" x14ac:dyDescent="0.2">
      <c r="A539" s="28"/>
      <c r="B539" s="28"/>
      <c r="C539" s="1"/>
      <c r="D539" s="18"/>
      <c r="E539" s="1"/>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4.25" customHeight="1" x14ac:dyDescent="0.2">
      <c r="A540" s="28"/>
      <c r="B540" s="28"/>
      <c r="C540" s="1"/>
      <c r="D540" s="18"/>
      <c r="E540" s="1"/>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4.25" customHeight="1" x14ac:dyDescent="0.2">
      <c r="A541" s="28"/>
      <c r="B541" s="28"/>
      <c r="C541" s="1"/>
      <c r="D541" s="18"/>
      <c r="E541" s="1"/>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4.25" customHeight="1" x14ac:dyDescent="0.2">
      <c r="A542" s="28"/>
      <c r="B542" s="28"/>
      <c r="C542" s="1"/>
      <c r="D542" s="18"/>
      <c r="E542" s="1"/>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4.25" customHeight="1" x14ac:dyDescent="0.2">
      <c r="A543" s="28"/>
      <c r="B543" s="28"/>
      <c r="C543" s="1"/>
      <c r="D543" s="18"/>
      <c r="E543" s="1"/>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4.25" customHeight="1" x14ac:dyDescent="0.2">
      <c r="A544" s="28"/>
      <c r="B544" s="28"/>
      <c r="C544" s="1"/>
      <c r="D544" s="18"/>
      <c r="E544" s="1"/>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4.25" customHeight="1" x14ac:dyDescent="0.2">
      <c r="A545" s="28"/>
      <c r="B545" s="28"/>
      <c r="C545" s="1"/>
      <c r="D545" s="18"/>
      <c r="E545" s="1"/>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4.25" customHeight="1" x14ac:dyDescent="0.2">
      <c r="A546" s="28"/>
      <c r="B546" s="28"/>
      <c r="C546" s="1"/>
      <c r="D546" s="18"/>
      <c r="E546" s="1"/>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4.25" customHeight="1" x14ac:dyDescent="0.2">
      <c r="A547" s="28"/>
      <c r="B547" s="28"/>
      <c r="C547" s="1"/>
      <c r="D547" s="18"/>
      <c r="E547" s="1"/>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4.25" customHeight="1" x14ac:dyDescent="0.2">
      <c r="A548" s="28"/>
      <c r="B548" s="28"/>
      <c r="C548" s="1"/>
      <c r="D548" s="18"/>
      <c r="E548" s="1"/>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4.25" customHeight="1" x14ac:dyDescent="0.2">
      <c r="A549" s="28"/>
      <c r="B549" s="28"/>
      <c r="C549" s="1"/>
      <c r="D549" s="18"/>
      <c r="E549" s="1"/>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4.25" customHeight="1" x14ac:dyDescent="0.2">
      <c r="A550" s="28"/>
      <c r="B550" s="28"/>
      <c r="C550" s="1"/>
      <c r="D550" s="18"/>
      <c r="E550" s="1"/>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4.25" customHeight="1" x14ac:dyDescent="0.2">
      <c r="A551" s="28"/>
      <c r="B551" s="28"/>
      <c r="C551" s="1"/>
      <c r="D551" s="18"/>
      <c r="E551" s="1"/>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4.25" customHeight="1" x14ac:dyDescent="0.2">
      <c r="A552" s="28"/>
      <c r="B552" s="28"/>
      <c r="C552" s="1"/>
      <c r="D552" s="18"/>
      <c r="E552" s="1"/>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4.25" customHeight="1" x14ac:dyDescent="0.2">
      <c r="A553" s="28"/>
      <c r="B553" s="28"/>
      <c r="C553" s="1"/>
      <c r="D553" s="18"/>
      <c r="E553" s="1"/>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4.25" customHeight="1" x14ac:dyDescent="0.2">
      <c r="A554" s="28"/>
      <c r="B554" s="28"/>
      <c r="C554" s="1"/>
      <c r="D554" s="18"/>
      <c r="E554" s="1"/>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4.25" customHeight="1" x14ac:dyDescent="0.2">
      <c r="A555" s="28"/>
      <c r="B555" s="28"/>
      <c r="C555" s="1"/>
      <c r="D555" s="18"/>
      <c r="E555" s="1"/>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4.25" customHeight="1" x14ac:dyDescent="0.2">
      <c r="A556" s="28"/>
      <c r="B556" s="28"/>
      <c r="C556" s="1"/>
      <c r="D556" s="18"/>
      <c r="E556" s="1"/>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4.25" customHeight="1" x14ac:dyDescent="0.2">
      <c r="A557" s="28"/>
      <c r="B557" s="28"/>
      <c r="C557" s="1"/>
      <c r="D557" s="18"/>
      <c r="E557" s="1"/>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4.25" customHeight="1" x14ac:dyDescent="0.2">
      <c r="A558" s="28"/>
      <c r="B558" s="28"/>
      <c r="C558" s="1"/>
      <c r="D558" s="18"/>
      <c r="E558" s="1"/>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4.25" customHeight="1" x14ac:dyDescent="0.2">
      <c r="A559" s="28"/>
      <c r="B559" s="28"/>
      <c r="C559" s="1"/>
      <c r="D559" s="18"/>
      <c r="E559" s="1"/>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4.25" customHeight="1" x14ac:dyDescent="0.2">
      <c r="A560" s="28"/>
      <c r="B560" s="28"/>
      <c r="C560" s="1"/>
      <c r="D560" s="18"/>
      <c r="E560" s="1"/>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4.25" customHeight="1" x14ac:dyDescent="0.2">
      <c r="A561" s="28"/>
      <c r="B561" s="28"/>
      <c r="C561" s="1"/>
      <c r="D561" s="18"/>
      <c r="E561" s="1"/>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4.25" customHeight="1" x14ac:dyDescent="0.2">
      <c r="A562" s="28"/>
      <c r="B562" s="28"/>
      <c r="C562" s="1"/>
      <c r="D562" s="18"/>
      <c r="E562" s="1"/>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4.25" customHeight="1" x14ac:dyDescent="0.2">
      <c r="A563" s="28"/>
      <c r="B563" s="28"/>
      <c r="C563" s="1"/>
      <c r="D563" s="18"/>
      <c r="E563" s="1"/>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4.25" customHeight="1" x14ac:dyDescent="0.2">
      <c r="A564" s="28"/>
      <c r="B564" s="28"/>
      <c r="C564" s="1"/>
      <c r="D564" s="18"/>
      <c r="E564" s="1"/>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4.25" customHeight="1" x14ac:dyDescent="0.2">
      <c r="A565" s="28"/>
      <c r="B565" s="28"/>
      <c r="C565" s="1"/>
      <c r="D565" s="18"/>
      <c r="E565" s="1"/>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4.25" customHeight="1" x14ac:dyDescent="0.2">
      <c r="A566" s="28"/>
      <c r="B566" s="28"/>
      <c r="C566" s="1"/>
      <c r="D566" s="18"/>
      <c r="E566" s="1"/>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4.25" customHeight="1" x14ac:dyDescent="0.2">
      <c r="A567" s="28"/>
      <c r="B567" s="28"/>
      <c r="C567" s="1"/>
      <c r="D567" s="18"/>
      <c r="E567" s="1"/>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4.25" customHeight="1" x14ac:dyDescent="0.2">
      <c r="A568" s="28"/>
      <c r="B568" s="28"/>
      <c r="C568" s="1"/>
      <c r="D568" s="18"/>
      <c r="E568" s="1"/>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4.25" customHeight="1" x14ac:dyDescent="0.2">
      <c r="A569" s="28"/>
      <c r="B569" s="28"/>
      <c r="C569" s="1"/>
      <c r="D569" s="18"/>
      <c r="E569" s="1"/>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4.25" customHeight="1" x14ac:dyDescent="0.2">
      <c r="A570" s="28"/>
      <c r="B570" s="28"/>
      <c r="C570" s="1"/>
      <c r="D570" s="18"/>
      <c r="E570" s="1"/>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4.25" customHeight="1" x14ac:dyDescent="0.2">
      <c r="A571" s="28"/>
      <c r="B571" s="28"/>
      <c r="C571" s="1"/>
      <c r="D571" s="18"/>
      <c r="E571" s="1"/>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4.25" customHeight="1" x14ac:dyDescent="0.2">
      <c r="A572" s="28"/>
      <c r="B572" s="28"/>
      <c r="C572" s="1"/>
      <c r="D572" s="18"/>
      <c r="E572" s="1"/>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4.25" customHeight="1" x14ac:dyDescent="0.2">
      <c r="A573" s="28"/>
      <c r="B573" s="28"/>
      <c r="C573" s="1"/>
      <c r="D573" s="18"/>
      <c r="E573" s="1"/>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4.25" customHeight="1" x14ac:dyDescent="0.2">
      <c r="A574" s="28"/>
      <c r="B574" s="28"/>
      <c r="C574" s="1"/>
      <c r="D574" s="18"/>
      <c r="E574" s="1"/>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4.25" customHeight="1" x14ac:dyDescent="0.2">
      <c r="A575" s="28"/>
      <c r="B575" s="28"/>
      <c r="C575" s="1"/>
      <c r="D575" s="18"/>
      <c r="E575" s="1"/>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4.25" customHeight="1" x14ac:dyDescent="0.2">
      <c r="A576" s="28"/>
      <c r="B576" s="28"/>
      <c r="C576" s="1"/>
      <c r="D576" s="18"/>
      <c r="E576" s="1"/>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4.25" customHeight="1" x14ac:dyDescent="0.2">
      <c r="A577" s="28"/>
      <c r="B577" s="28"/>
      <c r="C577" s="1"/>
      <c r="D577" s="18"/>
      <c r="E577" s="1"/>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4.25" customHeight="1" x14ac:dyDescent="0.2">
      <c r="A578" s="28"/>
      <c r="B578" s="28"/>
      <c r="C578" s="1"/>
      <c r="D578" s="18"/>
      <c r="E578" s="1"/>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4.25" customHeight="1" x14ac:dyDescent="0.2">
      <c r="A579" s="28"/>
      <c r="B579" s="28"/>
      <c r="C579" s="1"/>
      <c r="D579" s="18"/>
      <c r="E579" s="1"/>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4.25" customHeight="1" x14ac:dyDescent="0.2">
      <c r="A580" s="28"/>
      <c r="B580" s="28"/>
      <c r="C580" s="1"/>
      <c r="D580" s="18"/>
      <c r="E580" s="1"/>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4.25" customHeight="1" x14ac:dyDescent="0.2">
      <c r="A581" s="28"/>
      <c r="B581" s="28"/>
      <c r="C581" s="1"/>
      <c r="D581" s="18"/>
      <c r="E581" s="1"/>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4.25" customHeight="1" x14ac:dyDescent="0.2">
      <c r="A582" s="28"/>
      <c r="B582" s="28"/>
      <c r="C582" s="1"/>
      <c r="D582" s="18"/>
      <c r="E582" s="1"/>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4.25" customHeight="1" x14ac:dyDescent="0.2">
      <c r="A583" s="28"/>
      <c r="B583" s="28"/>
      <c r="C583" s="1"/>
      <c r="D583" s="18"/>
      <c r="E583" s="1"/>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4.25" customHeight="1" x14ac:dyDescent="0.2">
      <c r="A584" s="28"/>
      <c r="B584" s="28"/>
      <c r="C584" s="1"/>
      <c r="D584" s="18"/>
      <c r="E584" s="1"/>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4.25" customHeight="1" x14ac:dyDescent="0.2">
      <c r="A585" s="28"/>
      <c r="B585" s="28"/>
      <c r="C585" s="1"/>
      <c r="D585" s="18"/>
      <c r="E585" s="1"/>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4.25" customHeight="1" x14ac:dyDescent="0.2">
      <c r="A586" s="28"/>
      <c r="B586" s="28"/>
      <c r="C586" s="1"/>
      <c r="D586" s="18"/>
      <c r="E586" s="1"/>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4.25" customHeight="1" x14ac:dyDescent="0.2">
      <c r="A587" s="28"/>
      <c r="B587" s="28"/>
      <c r="C587" s="1"/>
      <c r="D587" s="18"/>
      <c r="E587" s="1"/>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4.25" customHeight="1" x14ac:dyDescent="0.2">
      <c r="A588" s="28"/>
      <c r="B588" s="28"/>
      <c r="C588" s="1"/>
      <c r="D588" s="18"/>
      <c r="E588" s="1"/>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4.25" customHeight="1" x14ac:dyDescent="0.2">
      <c r="A589" s="28"/>
      <c r="B589" s="28"/>
      <c r="C589" s="1"/>
      <c r="D589" s="18"/>
      <c r="E589" s="1"/>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4.25" customHeight="1" x14ac:dyDescent="0.2">
      <c r="A590" s="28"/>
      <c r="B590" s="28"/>
      <c r="C590" s="1"/>
      <c r="D590" s="18"/>
      <c r="E590" s="1"/>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4.25" customHeight="1" x14ac:dyDescent="0.2">
      <c r="A591" s="28"/>
      <c r="B591" s="28"/>
      <c r="C591" s="1"/>
      <c r="D591" s="18"/>
      <c r="E591" s="1"/>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4.25" customHeight="1" x14ac:dyDescent="0.2">
      <c r="A592" s="28"/>
      <c r="B592" s="28"/>
      <c r="C592" s="1"/>
      <c r="D592" s="18"/>
      <c r="E592" s="1"/>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4.25" customHeight="1" x14ac:dyDescent="0.2">
      <c r="A593" s="28"/>
      <c r="B593" s="28"/>
      <c r="C593" s="1"/>
      <c r="D593" s="18"/>
      <c r="E593" s="1"/>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4.25" customHeight="1" x14ac:dyDescent="0.2">
      <c r="A594" s="28"/>
      <c r="B594" s="28"/>
      <c r="C594" s="1"/>
      <c r="D594" s="18"/>
      <c r="E594" s="1"/>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4.25" customHeight="1" x14ac:dyDescent="0.2">
      <c r="A595" s="28"/>
      <c r="B595" s="28"/>
      <c r="C595" s="1"/>
      <c r="D595" s="18"/>
      <c r="E595" s="1"/>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4.25" customHeight="1" x14ac:dyDescent="0.2">
      <c r="A596" s="28"/>
      <c r="B596" s="28"/>
      <c r="C596" s="1"/>
      <c r="D596" s="18"/>
      <c r="E596" s="1"/>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4.25" customHeight="1" x14ac:dyDescent="0.2">
      <c r="A597" s="28"/>
      <c r="B597" s="28"/>
      <c r="C597" s="1"/>
      <c r="D597" s="18"/>
      <c r="E597" s="1"/>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4.25" customHeight="1" x14ac:dyDescent="0.2">
      <c r="A598" s="28"/>
      <c r="B598" s="28"/>
      <c r="C598" s="1"/>
      <c r="D598" s="18"/>
      <c r="E598" s="1"/>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4.25" customHeight="1" x14ac:dyDescent="0.2">
      <c r="A599" s="28"/>
      <c r="B599" s="28"/>
      <c r="C599" s="1"/>
      <c r="D599" s="18"/>
      <c r="E599" s="1"/>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4.25" customHeight="1" x14ac:dyDescent="0.2">
      <c r="A600" s="28"/>
      <c r="B600" s="28"/>
      <c r="C600" s="1"/>
      <c r="D600" s="18"/>
      <c r="E600" s="1"/>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4.25" customHeight="1" x14ac:dyDescent="0.2">
      <c r="A601" s="28"/>
      <c r="B601" s="28"/>
      <c r="C601" s="1"/>
      <c r="D601" s="18"/>
      <c r="E601" s="1"/>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4.25" customHeight="1" x14ac:dyDescent="0.2">
      <c r="A602" s="28"/>
      <c r="B602" s="28"/>
      <c r="C602" s="1"/>
      <c r="D602" s="18"/>
      <c r="E602" s="1"/>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4.25" customHeight="1" x14ac:dyDescent="0.2">
      <c r="A603" s="28"/>
      <c r="B603" s="28"/>
      <c r="C603" s="1"/>
      <c r="D603" s="18"/>
      <c r="E603" s="1"/>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4.25" customHeight="1" x14ac:dyDescent="0.2">
      <c r="A604" s="28"/>
      <c r="B604" s="28"/>
      <c r="C604" s="1"/>
      <c r="D604" s="18"/>
      <c r="E604" s="1"/>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4.25" customHeight="1" x14ac:dyDescent="0.2">
      <c r="A605" s="28"/>
      <c r="B605" s="28"/>
      <c r="C605" s="1"/>
      <c r="D605" s="18"/>
      <c r="E605" s="1"/>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4.25" customHeight="1" x14ac:dyDescent="0.2">
      <c r="A606" s="28"/>
      <c r="B606" s="28"/>
      <c r="C606" s="1"/>
      <c r="D606" s="18"/>
      <c r="E606" s="1"/>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4.25" customHeight="1" x14ac:dyDescent="0.2">
      <c r="A607" s="28"/>
      <c r="B607" s="28"/>
      <c r="C607" s="1"/>
      <c r="D607" s="18"/>
      <c r="E607" s="1"/>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4.25" customHeight="1" x14ac:dyDescent="0.2">
      <c r="A608" s="28"/>
      <c r="B608" s="28"/>
      <c r="C608" s="1"/>
      <c r="D608" s="18"/>
      <c r="E608" s="1"/>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4.25" customHeight="1" x14ac:dyDescent="0.2">
      <c r="A609" s="28"/>
      <c r="B609" s="28"/>
      <c r="C609" s="1"/>
      <c r="D609" s="18"/>
      <c r="E609" s="1"/>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4.25" customHeight="1" x14ac:dyDescent="0.2">
      <c r="A610" s="28"/>
      <c r="B610" s="28"/>
      <c r="C610" s="1"/>
      <c r="D610" s="18"/>
      <c r="E610" s="1"/>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4.25" customHeight="1" x14ac:dyDescent="0.2">
      <c r="A611" s="28"/>
      <c r="B611" s="28"/>
      <c r="C611" s="1"/>
      <c r="D611" s="18"/>
      <c r="E611" s="1"/>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4.25" customHeight="1" x14ac:dyDescent="0.2">
      <c r="A612" s="28"/>
      <c r="B612" s="28"/>
      <c r="C612" s="1"/>
      <c r="D612" s="18"/>
      <c r="E612" s="1"/>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4.25" customHeight="1" x14ac:dyDescent="0.2">
      <c r="A613" s="28"/>
      <c r="B613" s="28"/>
      <c r="C613" s="1"/>
      <c r="D613" s="18"/>
      <c r="E613" s="1"/>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4.25" customHeight="1" x14ac:dyDescent="0.2">
      <c r="A614" s="28"/>
      <c r="B614" s="28"/>
      <c r="C614" s="1"/>
      <c r="D614" s="18"/>
      <c r="E614" s="1"/>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4.25" customHeight="1" x14ac:dyDescent="0.2">
      <c r="A615" s="28"/>
      <c r="B615" s="28"/>
      <c r="C615" s="1"/>
      <c r="D615" s="18"/>
      <c r="E615" s="1"/>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4.25" customHeight="1" x14ac:dyDescent="0.2">
      <c r="A616" s="28"/>
      <c r="B616" s="28"/>
      <c r="C616" s="1"/>
      <c r="D616" s="18"/>
      <c r="E616" s="1"/>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4.25" customHeight="1" x14ac:dyDescent="0.2">
      <c r="A617" s="28"/>
      <c r="B617" s="28"/>
      <c r="C617" s="1"/>
      <c r="D617" s="18"/>
      <c r="E617" s="1"/>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4.25" customHeight="1" x14ac:dyDescent="0.2">
      <c r="A618" s="28"/>
      <c r="B618" s="28"/>
      <c r="C618" s="1"/>
      <c r="D618" s="18"/>
      <c r="E618" s="1"/>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4.25" customHeight="1" x14ac:dyDescent="0.2">
      <c r="A619" s="28"/>
      <c r="B619" s="28"/>
      <c r="C619" s="1"/>
      <c r="D619" s="18"/>
      <c r="E619" s="1"/>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4.25" customHeight="1" x14ac:dyDescent="0.2">
      <c r="A620" s="28"/>
      <c r="B620" s="28"/>
      <c r="C620" s="1"/>
      <c r="D620" s="18"/>
      <c r="E620" s="1"/>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4.25" customHeight="1" x14ac:dyDescent="0.2">
      <c r="A621" s="28"/>
      <c r="B621" s="28"/>
      <c r="C621" s="1"/>
      <c r="D621" s="18"/>
      <c r="E621" s="1"/>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4.25" customHeight="1" x14ac:dyDescent="0.2">
      <c r="A622" s="28"/>
      <c r="B622" s="28"/>
      <c r="C622" s="1"/>
      <c r="D622" s="18"/>
      <c r="E622" s="1"/>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4.25" customHeight="1" x14ac:dyDescent="0.2">
      <c r="A623" s="28"/>
      <c r="B623" s="28"/>
      <c r="C623" s="1"/>
      <c r="D623" s="18"/>
      <c r="E623" s="1"/>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4.25" customHeight="1" x14ac:dyDescent="0.2">
      <c r="A624" s="28"/>
      <c r="B624" s="28"/>
      <c r="C624" s="1"/>
      <c r="D624" s="18"/>
      <c r="E624" s="1"/>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4.25" customHeight="1" x14ac:dyDescent="0.2">
      <c r="A625" s="28"/>
      <c r="B625" s="28"/>
      <c r="C625" s="1"/>
      <c r="D625" s="18"/>
      <c r="E625" s="1"/>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4.25" customHeight="1" x14ac:dyDescent="0.2">
      <c r="A626" s="28"/>
      <c r="B626" s="28"/>
      <c r="C626" s="1"/>
      <c r="D626" s="18"/>
      <c r="E626" s="1"/>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4.25" customHeight="1" x14ac:dyDescent="0.2">
      <c r="A627" s="28"/>
      <c r="B627" s="28"/>
      <c r="C627" s="1"/>
      <c r="D627" s="18"/>
      <c r="E627" s="1"/>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4.25" customHeight="1" x14ac:dyDescent="0.2">
      <c r="A628" s="28"/>
      <c r="B628" s="28"/>
      <c r="C628" s="1"/>
      <c r="D628" s="18"/>
      <c r="E628" s="1"/>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4.25" customHeight="1" x14ac:dyDescent="0.2">
      <c r="A629" s="28"/>
      <c r="B629" s="28"/>
      <c r="C629" s="1"/>
      <c r="D629" s="18"/>
      <c r="E629" s="1"/>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4.25" customHeight="1" x14ac:dyDescent="0.2">
      <c r="A630" s="28"/>
      <c r="B630" s="28"/>
      <c r="C630" s="1"/>
      <c r="D630" s="18"/>
      <c r="E630" s="1"/>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4.25" customHeight="1" x14ac:dyDescent="0.2">
      <c r="A631" s="28"/>
      <c r="B631" s="28"/>
      <c r="C631" s="1"/>
      <c r="D631" s="18"/>
      <c r="E631" s="1"/>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4.25" customHeight="1" x14ac:dyDescent="0.2">
      <c r="A632" s="28"/>
      <c r="B632" s="28"/>
      <c r="C632" s="1"/>
      <c r="D632" s="18"/>
      <c r="E632" s="1"/>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4.25" customHeight="1" x14ac:dyDescent="0.2">
      <c r="A633" s="28"/>
      <c r="B633" s="28"/>
      <c r="C633" s="1"/>
      <c r="D633" s="18"/>
      <c r="E633" s="1"/>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4.25" customHeight="1" x14ac:dyDescent="0.2">
      <c r="A634" s="28"/>
      <c r="B634" s="28"/>
      <c r="C634" s="1"/>
      <c r="D634" s="18"/>
      <c r="E634" s="1"/>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4.25" customHeight="1" x14ac:dyDescent="0.2">
      <c r="A635" s="28"/>
      <c r="B635" s="28"/>
      <c r="C635" s="1"/>
      <c r="D635" s="18"/>
      <c r="E635" s="1"/>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4.25" customHeight="1" x14ac:dyDescent="0.2">
      <c r="A636" s="28"/>
      <c r="B636" s="28"/>
      <c r="C636" s="1"/>
      <c r="D636" s="18"/>
      <c r="E636" s="1"/>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4.25" customHeight="1" x14ac:dyDescent="0.2">
      <c r="A637" s="28"/>
      <c r="B637" s="28"/>
      <c r="C637" s="1"/>
      <c r="D637" s="18"/>
      <c r="E637" s="1"/>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4.25" customHeight="1" x14ac:dyDescent="0.2">
      <c r="A638" s="28"/>
      <c r="B638" s="28"/>
      <c r="C638" s="1"/>
      <c r="D638" s="18"/>
      <c r="E638" s="1"/>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4.25" customHeight="1" x14ac:dyDescent="0.2">
      <c r="A639" s="28"/>
      <c r="B639" s="28"/>
      <c r="C639" s="1"/>
      <c r="D639" s="18"/>
      <c r="E639" s="1"/>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4.25" customHeight="1" x14ac:dyDescent="0.2">
      <c r="A640" s="28"/>
      <c r="B640" s="28"/>
      <c r="C640" s="1"/>
      <c r="D640" s="18"/>
      <c r="E640" s="1"/>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4.25" customHeight="1" x14ac:dyDescent="0.2">
      <c r="A641" s="28"/>
      <c r="B641" s="28"/>
      <c r="C641" s="1"/>
      <c r="D641" s="18"/>
      <c r="E641" s="1"/>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4.25" customHeight="1" x14ac:dyDescent="0.2">
      <c r="A642" s="28"/>
      <c r="B642" s="28"/>
      <c r="C642" s="1"/>
      <c r="D642" s="18"/>
      <c r="E642" s="1"/>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4.25" customHeight="1" x14ac:dyDescent="0.2">
      <c r="A643" s="28"/>
      <c r="B643" s="28"/>
      <c r="C643" s="1"/>
      <c r="D643" s="18"/>
      <c r="E643" s="1"/>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4.25" customHeight="1" x14ac:dyDescent="0.2">
      <c r="A644" s="28"/>
      <c r="B644" s="28"/>
      <c r="C644" s="1"/>
      <c r="D644" s="18"/>
      <c r="E644" s="1"/>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4.25" customHeight="1" x14ac:dyDescent="0.2">
      <c r="A645" s="28"/>
      <c r="B645" s="28"/>
      <c r="C645" s="1"/>
      <c r="D645" s="18"/>
      <c r="E645" s="1"/>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4.25" customHeight="1" x14ac:dyDescent="0.2">
      <c r="A646" s="28"/>
      <c r="B646" s="28"/>
      <c r="C646" s="1"/>
      <c r="D646" s="18"/>
      <c r="E646" s="1"/>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4.25" customHeight="1" x14ac:dyDescent="0.2">
      <c r="A647" s="28"/>
      <c r="B647" s="28"/>
      <c r="C647" s="1"/>
      <c r="D647" s="18"/>
      <c r="E647" s="1"/>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4.25" customHeight="1" x14ac:dyDescent="0.2">
      <c r="A648" s="28"/>
      <c r="B648" s="28"/>
      <c r="C648" s="1"/>
      <c r="D648" s="18"/>
      <c r="E648" s="1"/>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4.25" customHeight="1" x14ac:dyDescent="0.2">
      <c r="A649" s="28"/>
      <c r="B649" s="28"/>
      <c r="C649" s="1"/>
      <c r="D649" s="18"/>
      <c r="E649" s="1"/>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4.25" customHeight="1" x14ac:dyDescent="0.2">
      <c r="A650" s="28"/>
      <c r="B650" s="28"/>
      <c r="C650" s="1"/>
      <c r="D650" s="18"/>
      <c r="E650" s="1"/>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4.25" customHeight="1" x14ac:dyDescent="0.2">
      <c r="A651" s="28"/>
      <c r="B651" s="28"/>
      <c r="C651" s="1"/>
      <c r="D651" s="18"/>
      <c r="E651" s="1"/>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4.25" customHeight="1" x14ac:dyDescent="0.2">
      <c r="A652" s="28"/>
      <c r="B652" s="28"/>
      <c r="C652" s="1"/>
      <c r="D652" s="18"/>
      <c r="E652" s="1"/>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4.25" customHeight="1" x14ac:dyDescent="0.2">
      <c r="A653" s="28"/>
      <c r="B653" s="28"/>
      <c r="C653" s="1"/>
      <c r="D653" s="18"/>
      <c r="E653" s="1"/>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4.25" customHeight="1" x14ac:dyDescent="0.2">
      <c r="A654" s="28"/>
      <c r="B654" s="28"/>
      <c r="C654" s="1"/>
      <c r="D654" s="18"/>
      <c r="E654" s="1"/>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4.25" customHeight="1" x14ac:dyDescent="0.2">
      <c r="A655" s="28"/>
      <c r="B655" s="28"/>
      <c r="C655" s="1"/>
      <c r="D655" s="18"/>
      <c r="E655" s="1"/>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4.25" customHeight="1" x14ac:dyDescent="0.2">
      <c r="A656" s="28"/>
      <c r="B656" s="28"/>
      <c r="C656" s="1"/>
      <c r="D656" s="18"/>
      <c r="E656" s="1"/>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4.25" customHeight="1" x14ac:dyDescent="0.2">
      <c r="A657" s="28"/>
      <c r="B657" s="28"/>
      <c r="C657" s="1"/>
      <c r="D657" s="18"/>
      <c r="E657" s="1"/>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4.25" customHeight="1" x14ac:dyDescent="0.2">
      <c r="A658" s="28"/>
      <c r="B658" s="28"/>
      <c r="C658" s="1"/>
      <c r="D658" s="18"/>
      <c r="E658" s="1"/>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4.25" customHeight="1" x14ac:dyDescent="0.2">
      <c r="A659" s="28"/>
      <c r="B659" s="28"/>
      <c r="C659" s="1"/>
      <c r="D659" s="18"/>
      <c r="E659" s="1"/>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4.25" customHeight="1" x14ac:dyDescent="0.2">
      <c r="A660" s="28"/>
      <c r="B660" s="28"/>
      <c r="C660" s="1"/>
      <c r="D660" s="18"/>
      <c r="E660" s="1"/>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4.25" customHeight="1" x14ac:dyDescent="0.2">
      <c r="A661" s="28"/>
      <c r="B661" s="28"/>
      <c r="C661" s="1"/>
      <c r="D661" s="18"/>
      <c r="E661" s="1"/>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4.25" customHeight="1" x14ac:dyDescent="0.2">
      <c r="A662" s="28"/>
      <c r="B662" s="28"/>
      <c r="C662" s="1"/>
      <c r="D662" s="18"/>
      <c r="E662" s="1"/>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4.25" customHeight="1" x14ac:dyDescent="0.2">
      <c r="A663" s="28"/>
      <c r="B663" s="28"/>
      <c r="C663" s="1"/>
      <c r="D663" s="18"/>
      <c r="E663" s="1"/>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4.25" customHeight="1" x14ac:dyDescent="0.2">
      <c r="A664" s="28"/>
      <c r="B664" s="28"/>
      <c r="C664" s="1"/>
      <c r="D664" s="18"/>
      <c r="E664" s="1"/>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4.25" customHeight="1" x14ac:dyDescent="0.2">
      <c r="A665" s="28"/>
      <c r="B665" s="28"/>
      <c r="C665" s="1"/>
      <c r="D665" s="18"/>
      <c r="E665" s="1"/>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4.25" customHeight="1" x14ac:dyDescent="0.2">
      <c r="A666" s="28"/>
      <c r="B666" s="28"/>
      <c r="C666" s="1"/>
      <c r="D666" s="18"/>
      <c r="E666" s="1"/>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4.25" customHeight="1" x14ac:dyDescent="0.2">
      <c r="A667" s="28"/>
      <c r="B667" s="28"/>
      <c r="C667" s="1"/>
      <c r="D667" s="18"/>
      <c r="E667" s="1"/>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4.25" customHeight="1" x14ac:dyDescent="0.2">
      <c r="A668" s="28"/>
      <c r="B668" s="28"/>
      <c r="C668" s="1"/>
      <c r="D668" s="18"/>
      <c r="E668" s="1"/>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4.25" customHeight="1" x14ac:dyDescent="0.2">
      <c r="A669" s="28"/>
      <c r="B669" s="28"/>
      <c r="C669" s="1"/>
      <c r="D669" s="18"/>
      <c r="E669" s="1"/>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4.25" customHeight="1" x14ac:dyDescent="0.2">
      <c r="A670" s="28"/>
      <c r="B670" s="28"/>
      <c r="C670" s="1"/>
      <c r="D670" s="18"/>
      <c r="E670" s="1"/>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4.25" customHeight="1" x14ac:dyDescent="0.2">
      <c r="A671" s="28"/>
      <c r="B671" s="28"/>
      <c r="C671" s="1"/>
      <c r="D671" s="18"/>
      <c r="E671" s="1"/>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4.25" customHeight="1" x14ac:dyDescent="0.2">
      <c r="A672" s="28"/>
      <c r="B672" s="28"/>
      <c r="C672" s="1"/>
      <c r="D672" s="18"/>
      <c r="E672" s="1"/>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4.25" customHeight="1" x14ac:dyDescent="0.2">
      <c r="A673" s="28"/>
      <c r="B673" s="28"/>
      <c r="C673" s="1"/>
      <c r="D673" s="18"/>
      <c r="E673" s="1"/>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4.25" customHeight="1" x14ac:dyDescent="0.2">
      <c r="A674" s="28"/>
      <c r="B674" s="28"/>
      <c r="C674" s="1"/>
      <c r="D674" s="18"/>
      <c r="E674" s="1"/>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4.25" customHeight="1" x14ac:dyDescent="0.2">
      <c r="A675" s="28"/>
      <c r="B675" s="28"/>
      <c r="C675" s="1"/>
      <c r="D675" s="18"/>
      <c r="E675" s="1"/>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4.25" customHeight="1" x14ac:dyDescent="0.2">
      <c r="A676" s="28"/>
      <c r="B676" s="28"/>
      <c r="C676" s="1"/>
      <c r="D676" s="18"/>
      <c r="E676" s="1"/>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4.25" customHeight="1" x14ac:dyDescent="0.2">
      <c r="A677" s="28"/>
      <c r="B677" s="28"/>
      <c r="C677" s="1"/>
      <c r="D677" s="18"/>
      <c r="E677" s="1"/>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4.25" customHeight="1" x14ac:dyDescent="0.2">
      <c r="A678" s="28"/>
      <c r="B678" s="28"/>
      <c r="C678" s="1"/>
      <c r="D678" s="18"/>
      <c r="E678" s="1"/>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4.25" customHeight="1" x14ac:dyDescent="0.2">
      <c r="A679" s="28"/>
      <c r="B679" s="28"/>
      <c r="C679" s="1"/>
      <c r="D679" s="18"/>
      <c r="E679" s="1"/>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4.25" customHeight="1" x14ac:dyDescent="0.2">
      <c r="A680" s="28"/>
      <c r="B680" s="28"/>
      <c r="C680" s="1"/>
      <c r="D680" s="18"/>
      <c r="E680" s="1"/>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4.25" customHeight="1" x14ac:dyDescent="0.2">
      <c r="A681" s="28"/>
      <c r="B681" s="28"/>
      <c r="C681" s="1"/>
      <c r="D681" s="18"/>
      <c r="E681" s="1"/>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4.25" customHeight="1" x14ac:dyDescent="0.2">
      <c r="A682" s="28"/>
      <c r="B682" s="28"/>
      <c r="C682" s="1"/>
      <c r="D682" s="18"/>
      <c r="E682" s="1"/>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4.25" customHeight="1" x14ac:dyDescent="0.2">
      <c r="A683" s="28"/>
      <c r="B683" s="28"/>
      <c r="C683" s="1"/>
      <c r="D683" s="18"/>
      <c r="E683" s="1"/>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4.25" customHeight="1" x14ac:dyDescent="0.2">
      <c r="A684" s="28"/>
      <c r="B684" s="28"/>
      <c r="C684" s="1"/>
      <c r="D684" s="18"/>
      <c r="E684" s="1"/>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4.25" customHeight="1" x14ac:dyDescent="0.2">
      <c r="A685" s="28"/>
      <c r="B685" s="28"/>
      <c r="C685" s="1"/>
      <c r="D685" s="18"/>
      <c r="E685" s="1"/>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4.25" customHeight="1" x14ac:dyDescent="0.2">
      <c r="A686" s="28"/>
      <c r="B686" s="28"/>
      <c r="C686" s="1"/>
      <c r="D686" s="18"/>
      <c r="E686" s="1"/>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4.25" customHeight="1" x14ac:dyDescent="0.2">
      <c r="A687" s="28"/>
      <c r="B687" s="28"/>
      <c r="C687" s="1"/>
      <c r="D687" s="18"/>
      <c r="E687" s="1"/>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4.25" customHeight="1" x14ac:dyDescent="0.2">
      <c r="A688" s="28"/>
      <c r="B688" s="28"/>
      <c r="C688" s="1"/>
      <c r="D688" s="18"/>
      <c r="E688" s="1"/>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4.25" customHeight="1" x14ac:dyDescent="0.2">
      <c r="A689" s="28"/>
      <c r="B689" s="28"/>
      <c r="C689" s="1"/>
      <c r="D689" s="18"/>
      <c r="E689" s="1"/>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4.25" customHeight="1" x14ac:dyDescent="0.2">
      <c r="A690" s="28"/>
      <c r="B690" s="28"/>
      <c r="C690" s="1"/>
      <c r="D690" s="18"/>
      <c r="E690" s="1"/>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4.25" customHeight="1" x14ac:dyDescent="0.2">
      <c r="A691" s="28"/>
      <c r="B691" s="28"/>
      <c r="C691" s="1"/>
      <c r="D691" s="18"/>
      <c r="E691" s="1"/>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4.25" customHeight="1" x14ac:dyDescent="0.2">
      <c r="A692" s="28"/>
      <c r="B692" s="28"/>
      <c r="C692" s="1"/>
      <c r="D692" s="18"/>
      <c r="E692" s="1"/>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4.25" customHeight="1" x14ac:dyDescent="0.2">
      <c r="A693" s="28"/>
      <c r="B693" s="28"/>
      <c r="C693" s="1"/>
      <c r="D693" s="18"/>
      <c r="E693" s="1"/>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4.25" customHeight="1" x14ac:dyDescent="0.2">
      <c r="A694" s="28"/>
      <c r="B694" s="28"/>
      <c r="C694" s="1"/>
      <c r="D694" s="18"/>
      <c r="E694" s="1"/>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4.25" customHeight="1" x14ac:dyDescent="0.2">
      <c r="A695" s="28"/>
      <c r="B695" s="28"/>
      <c r="C695" s="1"/>
      <c r="D695" s="18"/>
      <c r="E695" s="1"/>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4.25" customHeight="1" x14ac:dyDescent="0.2">
      <c r="A696" s="28"/>
      <c r="B696" s="28"/>
      <c r="C696" s="1"/>
      <c r="D696" s="18"/>
      <c r="E696" s="1"/>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4.25" customHeight="1" x14ac:dyDescent="0.2">
      <c r="A697" s="28"/>
      <c r="B697" s="28"/>
      <c r="C697" s="1"/>
      <c r="D697" s="18"/>
      <c r="E697" s="1"/>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4.25" customHeight="1" x14ac:dyDescent="0.2">
      <c r="A698" s="28"/>
      <c r="B698" s="28"/>
      <c r="C698" s="1"/>
      <c r="D698" s="18"/>
      <c r="E698" s="1"/>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4.25" customHeight="1" x14ac:dyDescent="0.2">
      <c r="A699" s="28"/>
      <c r="B699" s="28"/>
      <c r="C699" s="1"/>
      <c r="D699" s="18"/>
      <c r="E699" s="1"/>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4.25" customHeight="1" x14ac:dyDescent="0.2">
      <c r="A700" s="28"/>
      <c r="B700" s="28"/>
      <c r="C700" s="1"/>
      <c r="D700" s="18"/>
      <c r="E700" s="1"/>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4.25" customHeight="1" x14ac:dyDescent="0.2">
      <c r="A701" s="28"/>
      <c r="B701" s="28"/>
      <c r="C701" s="1"/>
      <c r="D701" s="18"/>
      <c r="E701" s="1"/>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4.25" customHeight="1" x14ac:dyDescent="0.2">
      <c r="A702" s="28"/>
      <c r="B702" s="28"/>
      <c r="C702" s="1"/>
      <c r="D702" s="18"/>
      <c r="E702" s="1"/>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4.25" customHeight="1" x14ac:dyDescent="0.2">
      <c r="A703" s="28"/>
      <c r="B703" s="28"/>
      <c r="C703" s="1"/>
      <c r="D703" s="18"/>
      <c r="E703" s="1"/>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4.25" customHeight="1" x14ac:dyDescent="0.2">
      <c r="A704" s="28"/>
      <c r="B704" s="28"/>
      <c r="C704" s="1"/>
      <c r="D704" s="18"/>
      <c r="E704" s="1"/>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4.25" customHeight="1" x14ac:dyDescent="0.2">
      <c r="A705" s="28"/>
      <c r="B705" s="28"/>
      <c r="C705" s="1"/>
      <c r="D705" s="18"/>
      <c r="E705" s="1"/>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4.25" customHeight="1" x14ac:dyDescent="0.2">
      <c r="A706" s="28"/>
      <c r="B706" s="28"/>
      <c r="C706" s="1"/>
      <c r="D706" s="18"/>
      <c r="E706" s="1"/>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4.25" customHeight="1" x14ac:dyDescent="0.2">
      <c r="A707" s="28"/>
      <c r="B707" s="28"/>
      <c r="C707" s="1"/>
      <c r="D707" s="18"/>
      <c r="E707" s="1"/>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4.25" customHeight="1" x14ac:dyDescent="0.2">
      <c r="A708" s="28"/>
      <c r="B708" s="28"/>
      <c r="C708" s="1"/>
      <c r="D708" s="18"/>
      <c r="E708" s="1"/>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4.25" customHeight="1" x14ac:dyDescent="0.2">
      <c r="A709" s="28"/>
      <c r="B709" s="28"/>
      <c r="C709" s="1"/>
      <c r="D709" s="18"/>
      <c r="E709" s="1"/>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4.25" customHeight="1" x14ac:dyDescent="0.2">
      <c r="A710" s="28"/>
      <c r="B710" s="28"/>
      <c r="C710" s="1"/>
      <c r="D710" s="18"/>
      <c r="E710" s="1"/>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4.25" customHeight="1" x14ac:dyDescent="0.2">
      <c r="A711" s="28"/>
      <c r="B711" s="28"/>
      <c r="C711" s="1"/>
      <c r="D711" s="18"/>
      <c r="E711" s="1"/>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4.25" customHeight="1" x14ac:dyDescent="0.2">
      <c r="A712" s="28"/>
      <c r="B712" s="28"/>
      <c r="C712" s="1"/>
      <c r="D712" s="18"/>
      <c r="E712" s="1"/>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4.25" customHeight="1" x14ac:dyDescent="0.2">
      <c r="A713" s="28"/>
      <c r="B713" s="28"/>
      <c r="C713" s="1"/>
      <c r="D713" s="18"/>
      <c r="E713" s="1"/>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4.25" customHeight="1" x14ac:dyDescent="0.2">
      <c r="A714" s="28"/>
      <c r="B714" s="28"/>
      <c r="C714" s="1"/>
      <c r="D714" s="18"/>
      <c r="E714" s="1"/>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4.25" customHeight="1" x14ac:dyDescent="0.2">
      <c r="A715" s="28"/>
      <c r="B715" s="28"/>
      <c r="C715" s="1"/>
      <c r="D715" s="18"/>
      <c r="E715" s="1"/>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4.25" customHeight="1" x14ac:dyDescent="0.2">
      <c r="A716" s="28"/>
      <c r="B716" s="28"/>
      <c r="C716" s="1"/>
      <c r="D716" s="18"/>
      <c r="E716" s="1"/>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4.25" customHeight="1" x14ac:dyDescent="0.2">
      <c r="A717" s="28"/>
      <c r="B717" s="28"/>
      <c r="C717" s="1"/>
      <c r="D717" s="18"/>
      <c r="E717" s="1"/>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4.25" customHeight="1" x14ac:dyDescent="0.2">
      <c r="A718" s="28"/>
      <c r="B718" s="28"/>
      <c r="C718" s="1"/>
      <c r="D718" s="18"/>
      <c r="E718" s="1"/>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4.25" customHeight="1" x14ac:dyDescent="0.2">
      <c r="A719" s="28"/>
      <c r="B719" s="28"/>
      <c r="C719" s="1"/>
      <c r="D719" s="18"/>
      <c r="E719" s="1"/>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4.25" customHeight="1" x14ac:dyDescent="0.2">
      <c r="A720" s="28"/>
      <c r="B720" s="28"/>
      <c r="C720" s="1"/>
      <c r="D720" s="18"/>
      <c r="E720" s="1"/>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4.25" customHeight="1" x14ac:dyDescent="0.2">
      <c r="A721" s="28"/>
      <c r="B721" s="28"/>
      <c r="C721" s="1"/>
      <c r="D721" s="18"/>
      <c r="E721" s="1"/>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4.25" customHeight="1" x14ac:dyDescent="0.2">
      <c r="A722" s="28"/>
      <c r="B722" s="28"/>
      <c r="C722" s="1"/>
      <c r="D722" s="18"/>
      <c r="E722" s="1"/>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4.25" customHeight="1" x14ac:dyDescent="0.2">
      <c r="A723" s="28"/>
      <c r="B723" s="28"/>
      <c r="C723" s="1"/>
      <c r="D723" s="18"/>
      <c r="E723" s="1"/>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4.25" customHeight="1" x14ac:dyDescent="0.2">
      <c r="A724" s="28"/>
      <c r="B724" s="28"/>
      <c r="C724" s="1"/>
      <c r="D724" s="18"/>
      <c r="E724" s="1"/>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4.25" customHeight="1" x14ac:dyDescent="0.2">
      <c r="A725" s="28"/>
      <c r="B725" s="28"/>
      <c r="C725" s="1"/>
      <c r="D725" s="18"/>
      <c r="E725" s="1"/>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4.25" customHeight="1" x14ac:dyDescent="0.2">
      <c r="A726" s="28"/>
      <c r="B726" s="28"/>
      <c r="C726" s="1"/>
      <c r="D726" s="18"/>
      <c r="E726" s="1"/>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4.25" customHeight="1" x14ac:dyDescent="0.2">
      <c r="A727" s="28"/>
      <c r="B727" s="28"/>
      <c r="C727" s="1"/>
      <c r="D727" s="18"/>
      <c r="E727" s="1"/>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4.25" customHeight="1" x14ac:dyDescent="0.2">
      <c r="A728" s="28"/>
      <c r="B728" s="28"/>
      <c r="C728" s="1"/>
      <c r="D728" s="18"/>
      <c r="E728" s="1"/>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4.25" customHeight="1" x14ac:dyDescent="0.2">
      <c r="A729" s="28"/>
      <c r="B729" s="28"/>
      <c r="C729" s="1"/>
      <c r="D729" s="18"/>
      <c r="E729" s="1"/>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4.25" customHeight="1" x14ac:dyDescent="0.2">
      <c r="A730" s="28"/>
      <c r="B730" s="28"/>
      <c r="C730" s="1"/>
      <c r="D730" s="18"/>
      <c r="E730" s="1"/>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4.25" customHeight="1" x14ac:dyDescent="0.2">
      <c r="A731" s="28"/>
      <c r="B731" s="28"/>
      <c r="C731" s="1"/>
      <c r="D731" s="18"/>
      <c r="E731" s="1"/>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4.25" customHeight="1" x14ac:dyDescent="0.2">
      <c r="A732" s="28"/>
      <c r="B732" s="28"/>
      <c r="C732" s="1"/>
      <c r="D732" s="18"/>
      <c r="E732" s="1"/>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4.25" customHeight="1" x14ac:dyDescent="0.2">
      <c r="A733" s="28"/>
      <c r="B733" s="28"/>
      <c r="C733" s="1"/>
      <c r="D733" s="18"/>
      <c r="E733" s="1"/>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4.25" customHeight="1" x14ac:dyDescent="0.2">
      <c r="A734" s="28"/>
      <c r="B734" s="28"/>
      <c r="C734" s="1"/>
      <c r="D734" s="18"/>
      <c r="E734" s="1"/>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4.25" customHeight="1" x14ac:dyDescent="0.2">
      <c r="A735" s="28"/>
      <c r="B735" s="28"/>
      <c r="C735" s="1"/>
      <c r="D735" s="18"/>
      <c r="E735" s="1"/>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4.25" customHeight="1" x14ac:dyDescent="0.2">
      <c r="A736" s="28"/>
      <c r="B736" s="28"/>
      <c r="C736" s="1"/>
      <c r="D736" s="18"/>
      <c r="E736" s="1"/>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4.25" customHeight="1" x14ac:dyDescent="0.2">
      <c r="A737" s="28"/>
      <c r="B737" s="28"/>
      <c r="C737" s="1"/>
      <c r="D737" s="18"/>
      <c r="E737" s="1"/>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4.25" customHeight="1" x14ac:dyDescent="0.2">
      <c r="A738" s="28"/>
      <c r="B738" s="28"/>
      <c r="C738" s="1"/>
      <c r="D738" s="18"/>
      <c r="E738" s="1"/>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4.25" customHeight="1" x14ac:dyDescent="0.2">
      <c r="A739" s="28"/>
      <c r="B739" s="28"/>
      <c r="C739" s="1"/>
      <c r="D739" s="18"/>
      <c r="E739" s="1"/>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4.25" customHeight="1" x14ac:dyDescent="0.2">
      <c r="A740" s="28"/>
      <c r="B740" s="28"/>
      <c r="C740" s="1"/>
      <c r="D740" s="18"/>
      <c r="E740" s="1"/>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4.25" customHeight="1" x14ac:dyDescent="0.2">
      <c r="A741" s="28"/>
      <c r="B741" s="28"/>
      <c r="C741" s="1"/>
      <c r="D741" s="18"/>
      <c r="E741" s="1"/>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4.25" customHeight="1" x14ac:dyDescent="0.2">
      <c r="A742" s="28"/>
      <c r="B742" s="28"/>
      <c r="C742" s="1"/>
      <c r="D742" s="18"/>
      <c r="E742" s="1"/>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4.25" customHeight="1" x14ac:dyDescent="0.2">
      <c r="A743" s="28"/>
      <c r="B743" s="28"/>
      <c r="C743" s="1"/>
      <c r="D743" s="18"/>
      <c r="E743" s="1"/>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4.25" customHeight="1" x14ac:dyDescent="0.2">
      <c r="A744" s="28"/>
      <c r="B744" s="28"/>
      <c r="C744" s="1"/>
      <c r="D744" s="18"/>
      <c r="E744" s="1"/>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4.25" customHeight="1" x14ac:dyDescent="0.2">
      <c r="A745" s="28"/>
      <c r="B745" s="28"/>
      <c r="C745" s="1"/>
      <c r="D745" s="18"/>
      <c r="E745" s="1"/>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4.25" customHeight="1" x14ac:dyDescent="0.2">
      <c r="A746" s="28"/>
      <c r="B746" s="28"/>
      <c r="C746" s="1"/>
      <c r="D746" s="18"/>
      <c r="E746" s="1"/>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4.25" customHeight="1" x14ac:dyDescent="0.2">
      <c r="A747" s="28"/>
      <c r="B747" s="28"/>
      <c r="C747" s="1"/>
      <c r="D747" s="18"/>
      <c r="E747" s="1"/>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4.25" customHeight="1" x14ac:dyDescent="0.2">
      <c r="A748" s="28"/>
      <c r="B748" s="28"/>
      <c r="C748" s="1"/>
      <c r="D748" s="18"/>
      <c r="E748" s="1"/>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4.25" customHeight="1" x14ac:dyDescent="0.2">
      <c r="A749" s="28"/>
      <c r="B749" s="28"/>
      <c r="C749" s="1"/>
      <c r="D749" s="18"/>
      <c r="E749" s="1"/>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4.25" customHeight="1" x14ac:dyDescent="0.2">
      <c r="A750" s="28"/>
      <c r="B750" s="28"/>
      <c r="C750" s="1"/>
      <c r="D750" s="18"/>
      <c r="E750" s="1"/>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4.25" customHeight="1" x14ac:dyDescent="0.2">
      <c r="A751" s="28"/>
      <c r="B751" s="28"/>
      <c r="C751" s="1"/>
      <c r="D751" s="18"/>
      <c r="E751" s="1"/>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4.25" customHeight="1" x14ac:dyDescent="0.2">
      <c r="A752" s="28"/>
      <c r="B752" s="28"/>
      <c r="C752" s="1"/>
      <c r="D752" s="18"/>
      <c r="E752" s="1"/>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4.25" customHeight="1" x14ac:dyDescent="0.2">
      <c r="A753" s="28"/>
      <c r="B753" s="28"/>
      <c r="C753" s="1"/>
      <c r="D753" s="18"/>
      <c r="E753" s="1"/>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4.25" customHeight="1" x14ac:dyDescent="0.2">
      <c r="A754" s="28"/>
      <c r="B754" s="28"/>
      <c r="C754" s="1"/>
      <c r="D754" s="18"/>
      <c r="E754" s="1"/>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4.25" customHeight="1" x14ac:dyDescent="0.2">
      <c r="A755" s="28"/>
      <c r="B755" s="28"/>
      <c r="C755" s="1"/>
      <c r="D755" s="18"/>
      <c r="E755" s="1"/>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4.25" customHeight="1" x14ac:dyDescent="0.2">
      <c r="A756" s="28"/>
      <c r="B756" s="28"/>
      <c r="C756" s="1"/>
      <c r="D756" s="18"/>
      <c r="E756" s="1"/>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4.25" customHeight="1" x14ac:dyDescent="0.2">
      <c r="A757" s="28"/>
      <c r="B757" s="28"/>
      <c r="C757" s="1"/>
      <c r="D757" s="18"/>
      <c r="E757" s="1"/>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4.25" customHeight="1" x14ac:dyDescent="0.2">
      <c r="A758" s="28"/>
      <c r="B758" s="28"/>
      <c r="C758" s="1"/>
      <c r="D758" s="18"/>
      <c r="E758" s="1"/>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4.25" customHeight="1" x14ac:dyDescent="0.2">
      <c r="A759" s="28"/>
      <c r="B759" s="28"/>
      <c r="C759" s="1"/>
      <c r="D759" s="18"/>
      <c r="E759" s="1"/>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4.25" customHeight="1" x14ac:dyDescent="0.2">
      <c r="A760" s="28"/>
      <c r="B760" s="28"/>
      <c r="C760" s="1"/>
      <c r="D760" s="18"/>
      <c r="E760" s="1"/>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4.25" customHeight="1" x14ac:dyDescent="0.2">
      <c r="A761" s="28"/>
      <c r="B761" s="28"/>
      <c r="C761" s="1"/>
      <c r="D761" s="18"/>
      <c r="E761" s="1"/>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4.25" customHeight="1" x14ac:dyDescent="0.2">
      <c r="A762" s="28"/>
      <c r="B762" s="28"/>
      <c r="C762" s="1"/>
      <c r="D762" s="18"/>
      <c r="E762" s="1"/>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4.25" customHeight="1" x14ac:dyDescent="0.2">
      <c r="A763" s="28"/>
      <c r="B763" s="28"/>
      <c r="C763" s="1"/>
      <c r="D763" s="18"/>
      <c r="E763" s="1"/>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4.25" customHeight="1" x14ac:dyDescent="0.2">
      <c r="A764" s="28"/>
      <c r="B764" s="28"/>
      <c r="C764" s="1"/>
      <c r="D764" s="18"/>
      <c r="E764" s="1"/>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4.25" customHeight="1" x14ac:dyDescent="0.2">
      <c r="A765" s="28"/>
      <c r="B765" s="28"/>
      <c r="C765" s="1"/>
      <c r="D765" s="18"/>
      <c r="E765" s="1"/>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4.25" customHeight="1" x14ac:dyDescent="0.2">
      <c r="A766" s="28"/>
      <c r="B766" s="28"/>
      <c r="C766" s="1"/>
      <c r="D766" s="18"/>
      <c r="E766" s="1"/>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4.25" customHeight="1" x14ac:dyDescent="0.2">
      <c r="A767" s="28"/>
      <c r="B767" s="28"/>
      <c r="C767" s="1"/>
      <c r="D767" s="18"/>
      <c r="E767" s="1"/>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4.25" customHeight="1" x14ac:dyDescent="0.2">
      <c r="A768" s="28"/>
      <c r="B768" s="28"/>
      <c r="C768" s="1"/>
      <c r="D768" s="18"/>
      <c r="E768" s="1"/>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4.25" customHeight="1" x14ac:dyDescent="0.2">
      <c r="A769" s="28"/>
      <c r="B769" s="28"/>
      <c r="C769" s="1"/>
      <c r="D769" s="18"/>
      <c r="E769" s="1"/>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4.25" customHeight="1" x14ac:dyDescent="0.2">
      <c r="A770" s="28"/>
      <c r="B770" s="28"/>
      <c r="C770" s="1"/>
      <c r="D770" s="18"/>
      <c r="E770" s="1"/>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4.25" customHeight="1" x14ac:dyDescent="0.2">
      <c r="A771" s="28"/>
      <c r="B771" s="28"/>
      <c r="C771" s="1"/>
      <c r="D771" s="18"/>
      <c r="E771" s="1"/>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4.25" customHeight="1" x14ac:dyDescent="0.2">
      <c r="A772" s="28"/>
      <c r="B772" s="28"/>
      <c r="C772" s="1"/>
      <c r="D772" s="18"/>
      <c r="E772" s="1"/>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4.25" customHeight="1" x14ac:dyDescent="0.2">
      <c r="A773" s="28"/>
      <c r="B773" s="28"/>
      <c r="C773" s="1"/>
      <c r="D773" s="18"/>
      <c r="E773" s="1"/>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4.25" customHeight="1" x14ac:dyDescent="0.2">
      <c r="A774" s="28"/>
      <c r="B774" s="28"/>
      <c r="C774" s="1"/>
      <c r="D774" s="18"/>
      <c r="E774" s="1"/>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4.25" customHeight="1" x14ac:dyDescent="0.2">
      <c r="A775" s="28"/>
      <c r="B775" s="28"/>
      <c r="C775" s="1"/>
      <c r="D775" s="18"/>
      <c r="E775" s="1"/>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4.25" customHeight="1" x14ac:dyDescent="0.2">
      <c r="A776" s="28"/>
      <c r="B776" s="28"/>
      <c r="C776" s="1"/>
      <c r="D776" s="18"/>
      <c r="E776" s="1"/>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4.25" customHeight="1" x14ac:dyDescent="0.2">
      <c r="A777" s="28"/>
      <c r="B777" s="28"/>
      <c r="C777" s="1"/>
      <c r="D777" s="18"/>
      <c r="E777" s="1"/>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4.25" customHeight="1" x14ac:dyDescent="0.2">
      <c r="A778" s="28"/>
      <c r="B778" s="28"/>
      <c r="C778" s="1"/>
      <c r="D778" s="18"/>
      <c r="E778" s="1"/>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4.25" customHeight="1" x14ac:dyDescent="0.2">
      <c r="A779" s="28"/>
      <c r="B779" s="28"/>
      <c r="C779" s="1"/>
      <c r="D779" s="18"/>
      <c r="E779" s="1"/>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4.25" customHeight="1" x14ac:dyDescent="0.2">
      <c r="A780" s="28"/>
      <c r="B780" s="28"/>
      <c r="C780" s="1"/>
      <c r="D780" s="18"/>
      <c r="E780" s="1"/>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4.25" customHeight="1" x14ac:dyDescent="0.2">
      <c r="A781" s="28"/>
      <c r="B781" s="28"/>
      <c r="C781" s="1"/>
      <c r="D781" s="18"/>
      <c r="E781" s="1"/>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4.25" customHeight="1" x14ac:dyDescent="0.2">
      <c r="A782" s="28"/>
      <c r="B782" s="28"/>
      <c r="C782" s="1"/>
      <c r="D782" s="18"/>
      <c r="E782" s="1"/>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4.25" customHeight="1" x14ac:dyDescent="0.2">
      <c r="A783" s="28"/>
      <c r="B783" s="28"/>
      <c r="C783" s="1"/>
      <c r="D783" s="18"/>
      <c r="E783" s="1"/>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4.25" customHeight="1" x14ac:dyDescent="0.2">
      <c r="A784" s="28"/>
      <c r="B784" s="28"/>
      <c r="C784" s="1"/>
      <c r="D784" s="18"/>
      <c r="E784" s="1"/>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4.25" customHeight="1" x14ac:dyDescent="0.2">
      <c r="A785" s="28"/>
      <c r="B785" s="28"/>
      <c r="C785" s="1"/>
      <c r="D785" s="18"/>
      <c r="E785" s="1"/>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4.25" customHeight="1" x14ac:dyDescent="0.2">
      <c r="A786" s="28"/>
      <c r="B786" s="28"/>
      <c r="C786" s="1"/>
      <c r="D786" s="18"/>
      <c r="E786" s="1"/>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4.25" customHeight="1" x14ac:dyDescent="0.2">
      <c r="A787" s="28"/>
      <c r="B787" s="28"/>
      <c r="C787" s="1"/>
      <c r="D787" s="18"/>
      <c r="E787" s="1"/>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4.25" customHeight="1" x14ac:dyDescent="0.2">
      <c r="A788" s="28"/>
      <c r="B788" s="28"/>
      <c r="C788" s="1"/>
      <c r="D788" s="18"/>
      <c r="E788" s="1"/>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4.25" customHeight="1" x14ac:dyDescent="0.2">
      <c r="A789" s="28"/>
      <c r="B789" s="28"/>
      <c r="C789" s="1"/>
      <c r="D789" s="18"/>
      <c r="E789" s="1"/>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4.25" customHeight="1" x14ac:dyDescent="0.2">
      <c r="A790" s="28"/>
      <c r="B790" s="28"/>
      <c r="C790" s="1"/>
      <c r="D790" s="18"/>
      <c r="E790" s="1"/>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4.25" customHeight="1" x14ac:dyDescent="0.2">
      <c r="A791" s="28"/>
      <c r="B791" s="28"/>
      <c r="C791" s="1"/>
      <c r="D791" s="18"/>
      <c r="E791" s="1"/>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4.25" customHeight="1" x14ac:dyDescent="0.2">
      <c r="A792" s="28"/>
      <c r="B792" s="28"/>
      <c r="C792" s="1"/>
      <c r="D792" s="18"/>
      <c r="E792" s="1"/>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4.25" customHeight="1" x14ac:dyDescent="0.2">
      <c r="A793" s="28"/>
      <c r="B793" s="28"/>
      <c r="C793" s="1"/>
      <c r="D793" s="18"/>
      <c r="E793" s="1"/>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4.25" customHeight="1" x14ac:dyDescent="0.2">
      <c r="A794" s="28"/>
      <c r="B794" s="28"/>
      <c r="C794" s="1"/>
      <c r="D794" s="18"/>
      <c r="E794" s="1"/>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4.25" customHeight="1" x14ac:dyDescent="0.2">
      <c r="A795" s="28"/>
      <c r="B795" s="28"/>
      <c r="C795" s="1"/>
      <c r="D795" s="18"/>
      <c r="E795" s="1"/>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4.25" customHeight="1" x14ac:dyDescent="0.2">
      <c r="A796" s="28"/>
      <c r="B796" s="28"/>
      <c r="C796" s="1"/>
      <c r="D796" s="18"/>
      <c r="E796" s="1"/>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4.25" customHeight="1" x14ac:dyDescent="0.2">
      <c r="A797" s="28"/>
      <c r="B797" s="28"/>
      <c r="C797" s="1"/>
      <c r="D797" s="18"/>
      <c r="E797" s="1"/>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4.25" customHeight="1" x14ac:dyDescent="0.2">
      <c r="A798" s="28"/>
      <c r="B798" s="28"/>
      <c r="C798" s="1"/>
      <c r="D798" s="18"/>
      <c r="E798" s="1"/>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4.25" customHeight="1" x14ac:dyDescent="0.2">
      <c r="A799" s="28"/>
      <c r="B799" s="28"/>
      <c r="C799" s="1"/>
      <c r="D799" s="18"/>
      <c r="E799" s="1"/>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4.25" customHeight="1" x14ac:dyDescent="0.2">
      <c r="A800" s="28"/>
      <c r="B800" s="28"/>
      <c r="C800" s="1"/>
      <c r="D800" s="18"/>
      <c r="E800" s="1"/>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4.25" customHeight="1" x14ac:dyDescent="0.2">
      <c r="A801" s="28"/>
      <c r="B801" s="28"/>
      <c r="C801" s="1"/>
      <c r="D801" s="18"/>
      <c r="E801" s="1"/>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4.25" customHeight="1" x14ac:dyDescent="0.2">
      <c r="A802" s="28"/>
      <c r="B802" s="28"/>
      <c r="C802" s="1"/>
      <c r="D802" s="18"/>
      <c r="E802" s="1"/>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4.25" customHeight="1" x14ac:dyDescent="0.2">
      <c r="A803" s="28"/>
      <c r="B803" s="28"/>
      <c r="C803" s="1"/>
      <c r="D803" s="18"/>
      <c r="E803" s="1"/>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4.25" customHeight="1" x14ac:dyDescent="0.2">
      <c r="A804" s="28"/>
      <c r="B804" s="28"/>
      <c r="C804" s="1"/>
      <c r="D804" s="18"/>
      <c r="E804" s="1"/>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4.25" customHeight="1" x14ac:dyDescent="0.2">
      <c r="A805" s="28"/>
      <c r="B805" s="28"/>
      <c r="C805" s="1"/>
      <c r="D805" s="18"/>
      <c r="E805" s="1"/>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4.25" customHeight="1" x14ac:dyDescent="0.2">
      <c r="A806" s="28"/>
      <c r="B806" s="28"/>
      <c r="C806" s="1"/>
      <c r="D806" s="18"/>
      <c r="E806" s="1"/>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4.25" customHeight="1" x14ac:dyDescent="0.2">
      <c r="A807" s="28"/>
      <c r="B807" s="28"/>
      <c r="C807" s="1"/>
      <c r="D807" s="18"/>
      <c r="E807" s="1"/>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4.25" customHeight="1" x14ac:dyDescent="0.2">
      <c r="A808" s="28"/>
      <c r="B808" s="28"/>
      <c r="C808" s="1"/>
      <c r="D808" s="18"/>
      <c r="E808" s="1"/>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4.25" customHeight="1" x14ac:dyDescent="0.2">
      <c r="A809" s="28"/>
      <c r="B809" s="28"/>
      <c r="C809" s="1"/>
      <c r="D809" s="18"/>
      <c r="E809" s="1"/>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4.25" customHeight="1" x14ac:dyDescent="0.2">
      <c r="A810" s="28"/>
      <c r="B810" s="28"/>
      <c r="C810" s="1"/>
      <c r="D810" s="18"/>
      <c r="E810" s="1"/>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4.25" customHeight="1" x14ac:dyDescent="0.2">
      <c r="A811" s="28"/>
      <c r="B811" s="28"/>
      <c r="C811" s="1"/>
      <c r="D811" s="18"/>
      <c r="E811" s="1"/>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4.25" customHeight="1" x14ac:dyDescent="0.2">
      <c r="A812" s="28"/>
      <c r="B812" s="28"/>
      <c r="C812" s="1"/>
      <c r="D812" s="18"/>
      <c r="E812" s="1"/>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4.25" customHeight="1" x14ac:dyDescent="0.2">
      <c r="A813" s="28"/>
      <c r="B813" s="28"/>
      <c r="C813" s="1"/>
      <c r="D813" s="18"/>
      <c r="E813" s="1"/>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4.25" customHeight="1" x14ac:dyDescent="0.2">
      <c r="A814" s="28"/>
      <c r="B814" s="28"/>
      <c r="C814" s="1"/>
      <c r="D814" s="18"/>
      <c r="E814" s="1"/>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4.25" customHeight="1" x14ac:dyDescent="0.2">
      <c r="A815" s="28"/>
      <c r="B815" s="28"/>
      <c r="C815" s="1"/>
      <c r="D815" s="18"/>
      <c r="E815" s="1"/>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4.25" customHeight="1" x14ac:dyDescent="0.2">
      <c r="A816" s="28"/>
      <c r="B816" s="28"/>
      <c r="C816" s="1"/>
      <c r="D816" s="18"/>
      <c r="E816" s="1"/>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4.25" customHeight="1" x14ac:dyDescent="0.2">
      <c r="A817" s="28"/>
      <c r="B817" s="28"/>
      <c r="C817" s="1"/>
      <c r="D817" s="18"/>
      <c r="E817" s="1"/>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4.25" customHeight="1" x14ac:dyDescent="0.2">
      <c r="A818" s="28"/>
      <c r="B818" s="28"/>
      <c r="C818" s="1"/>
      <c r="D818" s="18"/>
      <c r="E818" s="1"/>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4.25" customHeight="1" x14ac:dyDescent="0.2">
      <c r="A819" s="28"/>
      <c r="B819" s="28"/>
      <c r="C819" s="1"/>
      <c r="D819" s="18"/>
      <c r="E819" s="1"/>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4.25" customHeight="1" x14ac:dyDescent="0.2">
      <c r="A820" s="28"/>
      <c r="B820" s="28"/>
      <c r="C820" s="1"/>
      <c r="D820" s="18"/>
      <c r="E820" s="1"/>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4.25" customHeight="1" x14ac:dyDescent="0.2">
      <c r="A821" s="28"/>
      <c r="B821" s="28"/>
      <c r="C821" s="1"/>
      <c r="D821" s="18"/>
      <c r="E821" s="1"/>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4.25" customHeight="1" x14ac:dyDescent="0.2">
      <c r="A822" s="28"/>
      <c r="B822" s="28"/>
      <c r="C822" s="1"/>
      <c r="D822" s="18"/>
      <c r="E822" s="1"/>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4.25" customHeight="1" x14ac:dyDescent="0.2">
      <c r="A823" s="28"/>
      <c r="B823" s="28"/>
      <c r="C823" s="1"/>
      <c r="D823" s="18"/>
      <c r="E823" s="1"/>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4.25" customHeight="1" x14ac:dyDescent="0.2">
      <c r="A824" s="28"/>
      <c r="B824" s="28"/>
      <c r="C824" s="1"/>
      <c r="D824" s="18"/>
      <c r="E824" s="1"/>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4.25" customHeight="1" x14ac:dyDescent="0.2">
      <c r="A825" s="28"/>
      <c r="B825" s="28"/>
      <c r="C825" s="1"/>
      <c r="D825" s="18"/>
      <c r="E825" s="1"/>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4.25" customHeight="1" x14ac:dyDescent="0.2">
      <c r="A826" s="28"/>
      <c r="B826" s="28"/>
      <c r="C826" s="1"/>
      <c r="D826" s="18"/>
      <c r="E826" s="1"/>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4.25" customHeight="1" x14ac:dyDescent="0.2">
      <c r="A827" s="28"/>
      <c r="B827" s="28"/>
      <c r="C827" s="1"/>
      <c r="D827" s="18"/>
      <c r="E827" s="1"/>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4.25" customHeight="1" x14ac:dyDescent="0.2">
      <c r="A828" s="28"/>
      <c r="B828" s="28"/>
      <c r="C828" s="1"/>
      <c r="D828" s="18"/>
      <c r="E828" s="1"/>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4.25" customHeight="1" x14ac:dyDescent="0.2">
      <c r="A829" s="28"/>
      <c r="B829" s="28"/>
      <c r="C829" s="1"/>
      <c r="D829" s="18"/>
      <c r="E829" s="1"/>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4.25" customHeight="1" x14ac:dyDescent="0.2">
      <c r="A830" s="28"/>
      <c r="B830" s="28"/>
      <c r="C830" s="1"/>
      <c r="D830" s="18"/>
      <c r="E830" s="1"/>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4.25" customHeight="1" x14ac:dyDescent="0.2">
      <c r="A831" s="28"/>
      <c r="B831" s="28"/>
      <c r="C831" s="1"/>
      <c r="D831" s="18"/>
      <c r="E831" s="1"/>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4.25" customHeight="1" x14ac:dyDescent="0.2">
      <c r="A832" s="28"/>
      <c r="B832" s="28"/>
      <c r="C832" s="1"/>
      <c r="D832" s="18"/>
      <c r="E832" s="1"/>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4.25" customHeight="1" x14ac:dyDescent="0.2">
      <c r="A833" s="28"/>
      <c r="B833" s="28"/>
      <c r="C833" s="1"/>
      <c r="D833" s="18"/>
      <c r="E833" s="1"/>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4.25" customHeight="1" x14ac:dyDescent="0.2">
      <c r="A834" s="28"/>
      <c r="B834" s="28"/>
      <c r="C834" s="1"/>
      <c r="D834" s="18"/>
      <c r="E834" s="1"/>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4.25" customHeight="1" x14ac:dyDescent="0.2">
      <c r="A835" s="28"/>
      <c r="B835" s="28"/>
      <c r="C835" s="1"/>
      <c r="D835" s="18"/>
      <c r="E835" s="1"/>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4.25" customHeight="1" x14ac:dyDescent="0.2">
      <c r="A836" s="28"/>
      <c r="B836" s="28"/>
      <c r="C836" s="1"/>
      <c r="D836" s="18"/>
      <c r="E836" s="1"/>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4.25" customHeight="1" x14ac:dyDescent="0.2">
      <c r="A837" s="28"/>
      <c r="B837" s="28"/>
      <c r="C837" s="1"/>
      <c r="D837" s="18"/>
      <c r="E837" s="1"/>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4.25" customHeight="1" x14ac:dyDescent="0.2">
      <c r="A838" s="28"/>
      <c r="B838" s="28"/>
      <c r="C838" s="1"/>
      <c r="D838" s="18"/>
      <c r="E838" s="1"/>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4.25" customHeight="1" x14ac:dyDescent="0.2">
      <c r="A839" s="28"/>
      <c r="B839" s="28"/>
      <c r="C839" s="1"/>
      <c r="D839" s="18"/>
      <c r="E839" s="1"/>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4.25" customHeight="1" x14ac:dyDescent="0.2">
      <c r="A840" s="28"/>
      <c r="B840" s="28"/>
      <c r="C840" s="1"/>
      <c r="D840" s="18"/>
      <c r="E840" s="1"/>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4.25" customHeight="1" x14ac:dyDescent="0.2">
      <c r="A841" s="28"/>
      <c r="B841" s="28"/>
      <c r="C841" s="1"/>
      <c r="D841" s="18"/>
      <c r="E841" s="1"/>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4.25" customHeight="1" x14ac:dyDescent="0.2">
      <c r="A842" s="28"/>
      <c r="B842" s="28"/>
      <c r="C842" s="1"/>
      <c r="D842" s="18"/>
      <c r="E842" s="1"/>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4.25" customHeight="1" x14ac:dyDescent="0.2">
      <c r="A843" s="28"/>
      <c r="B843" s="28"/>
      <c r="C843" s="1"/>
      <c r="D843" s="18"/>
      <c r="E843" s="1"/>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4.25" customHeight="1" x14ac:dyDescent="0.2">
      <c r="A844" s="28"/>
      <c r="B844" s="28"/>
      <c r="C844" s="1"/>
      <c r="D844" s="18"/>
      <c r="E844" s="1"/>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4.25" customHeight="1" x14ac:dyDescent="0.2">
      <c r="A845" s="28"/>
      <c r="B845" s="28"/>
      <c r="C845" s="1"/>
      <c r="D845" s="18"/>
      <c r="E845" s="1"/>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4.25" customHeight="1" x14ac:dyDescent="0.2">
      <c r="A846" s="28"/>
      <c r="B846" s="28"/>
      <c r="C846" s="1"/>
      <c r="D846" s="18"/>
      <c r="E846" s="1"/>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4.25" customHeight="1" x14ac:dyDescent="0.2">
      <c r="A847" s="28"/>
      <c r="B847" s="28"/>
      <c r="C847" s="1"/>
      <c r="D847" s="18"/>
      <c r="E847" s="1"/>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4.25" customHeight="1" x14ac:dyDescent="0.2">
      <c r="A848" s="28"/>
      <c r="B848" s="28"/>
      <c r="C848" s="1"/>
      <c r="D848" s="18"/>
      <c r="E848" s="1"/>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4.25" customHeight="1" x14ac:dyDescent="0.2">
      <c r="A849" s="28"/>
      <c r="B849" s="28"/>
      <c r="C849" s="1"/>
      <c r="D849" s="18"/>
      <c r="E849" s="1"/>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4.25" customHeight="1" x14ac:dyDescent="0.2">
      <c r="A850" s="28"/>
      <c r="B850" s="28"/>
      <c r="C850" s="1"/>
      <c r="D850" s="18"/>
      <c r="E850" s="1"/>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4.25" customHeight="1" x14ac:dyDescent="0.2">
      <c r="A851" s="28"/>
      <c r="B851" s="28"/>
      <c r="C851" s="1"/>
      <c r="D851" s="18"/>
      <c r="E851" s="1"/>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4.25" customHeight="1" x14ac:dyDescent="0.2">
      <c r="A852" s="28"/>
      <c r="B852" s="28"/>
      <c r="C852" s="1"/>
      <c r="D852" s="18"/>
      <c r="E852" s="1"/>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4.25" customHeight="1" x14ac:dyDescent="0.2">
      <c r="A853" s="28"/>
      <c r="B853" s="28"/>
      <c r="C853" s="1"/>
      <c r="D853" s="18"/>
      <c r="E853" s="1"/>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4.25" customHeight="1" x14ac:dyDescent="0.2">
      <c r="A854" s="28"/>
      <c r="B854" s="28"/>
      <c r="C854" s="1"/>
      <c r="D854" s="18"/>
      <c r="E854" s="1"/>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4.25" customHeight="1" x14ac:dyDescent="0.2">
      <c r="A855" s="28"/>
      <c r="B855" s="28"/>
      <c r="C855" s="1"/>
      <c r="D855" s="18"/>
      <c r="E855" s="1"/>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4.25" customHeight="1" x14ac:dyDescent="0.2">
      <c r="A856" s="28"/>
      <c r="B856" s="28"/>
      <c r="C856" s="1"/>
      <c r="D856" s="18"/>
      <c r="E856" s="1"/>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4.25" customHeight="1" x14ac:dyDescent="0.2">
      <c r="A857" s="28"/>
      <c r="B857" s="28"/>
      <c r="C857" s="1"/>
      <c r="D857" s="18"/>
      <c r="E857" s="1"/>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4.25" customHeight="1" x14ac:dyDescent="0.2">
      <c r="A858" s="28"/>
      <c r="B858" s="28"/>
      <c r="C858" s="1"/>
      <c r="D858" s="18"/>
      <c r="E858" s="1"/>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4.25" customHeight="1" x14ac:dyDescent="0.2">
      <c r="A859" s="28"/>
      <c r="B859" s="28"/>
      <c r="C859" s="1"/>
      <c r="D859" s="18"/>
      <c r="E859" s="1"/>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4.25" customHeight="1" x14ac:dyDescent="0.2">
      <c r="A860" s="28"/>
      <c r="B860" s="28"/>
      <c r="C860" s="1"/>
      <c r="D860" s="18"/>
      <c r="E860" s="1"/>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4.25" customHeight="1" x14ac:dyDescent="0.2">
      <c r="A861" s="28"/>
      <c r="B861" s="28"/>
      <c r="C861" s="1"/>
      <c r="D861" s="18"/>
      <c r="E861" s="1"/>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4.25" customHeight="1" x14ac:dyDescent="0.2">
      <c r="A862" s="28"/>
      <c r="B862" s="28"/>
      <c r="C862" s="1"/>
      <c r="D862" s="18"/>
      <c r="E862" s="1"/>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4.25" customHeight="1" x14ac:dyDescent="0.2">
      <c r="A863" s="28"/>
      <c r="B863" s="28"/>
      <c r="C863" s="1"/>
      <c r="D863" s="18"/>
      <c r="E863" s="1"/>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4.25" customHeight="1" x14ac:dyDescent="0.2">
      <c r="A864" s="28"/>
      <c r="B864" s="28"/>
      <c r="C864" s="1"/>
      <c r="D864" s="18"/>
      <c r="E864" s="1"/>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4.25" customHeight="1" x14ac:dyDescent="0.2">
      <c r="A865" s="28"/>
      <c r="B865" s="28"/>
      <c r="C865" s="1"/>
      <c r="D865" s="18"/>
      <c r="E865" s="1"/>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4.25" customHeight="1" x14ac:dyDescent="0.2">
      <c r="A866" s="28"/>
      <c r="B866" s="28"/>
      <c r="C866" s="1"/>
      <c r="D866" s="18"/>
      <c r="E866" s="1"/>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4.25" customHeight="1" x14ac:dyDescent="0.2">
      <c r="A867" s="28"/>
      <c r="B867" s="28"/>
      <c r="C867" s="1"/>
      <c r="D867" s="18"/>
      <c r="E867" s="1"/>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4.25" customHeight="1" x14ac:dyDescent="0.2">
      <c r="A868" s="28"/>
      <c r="B868" s="28"/>
      <c r="C868" s="1"/>
      <c r="D868" s="18"/>
      <c r="E868" s="1"/>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4.25" customHeight="1" x14ac:dyDescent="0.2">
      <c r="A869" s="28"/>
      <c r="B869" s="28"/>
      <c r="C869" s="1"/>
      <c r="D869" s="18"/>
      <c r="E869" s="1"/>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4.25" customHeight="1" x14ac:dyDescent="0.2">
      <c r="A870" s="28"/>
      <c r="B870" s="28"/>
      <c r="C870" s="1"/>
      <c r="D870" s="18"/>
      <c r="E870" s="1"/>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4.25" customHeight="1" x14ac:dyDescent="0.2">
      <c r="A871" s="28"/>
      <c r="B871" s="28"/>
      <c r="C871" s="1"/>
      <c r="D871" s="18"/>
      <c r="E871" s="1"/>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4.25" customHeight="1" x14ac:dyDescent="0.2">
      <c r="A872" s="28"/>
      <c r="B872" s="28"/>
      <c r="C872" s="1"/>
      <c r="D872" s="18"/>
      <c r="E872" s="1"/>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4.25" customHeight="1" x14ac:dyDescent="0.2">
      <c r="A873" s="28"/>
      <c r="B873" s="28"/>
      <c r="C873" s="1"/>
      <c r="D873" s="18"/>
      <c r="E873" s="1"/>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4.25" customHeight="1" x14ac:dyDescent="0.2">
      <c r="A874" s="28"/>
      <c r="B874" s="28"/>
      <c r="C874" s="1"/>
      <c r="D874" s="18"/>
      <c r="E874" s="1"/>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4.25" customHeight="1" x14ac:dyDescent="0.2">
      <c r="A875" s="28"/>
      <c r="B875" s="28"/>
      <c r="C875" s="1"/>
      <c r="D875" s="18"/>
      <c r="E875" s="1"/>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4.25" customHeight="1" x14ac:dyDescent="0.2">
      <c r="A876" s="28"/>
      <c r="B876" s="28"/>
      <c r="C876" s="1"/>
      <c r="D876" s="18"/>
      <c r="E876" s="1"/>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4.25" customHeight="1" x14ac:dyDescent="0.2">
      <c r="A877" s="28"/>
      <c r="B877" s="28"/>
      <c r="C877" s="1"/>
      <c r="D877" s="18"/>
      <c r="E877" s="1"/>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4.25" customHeight="1" x14ac:dyDescent="0.2">
      <c r="A878" s="28"/>
      <c r="B878" s="28"/>
      <c r="C878" s="1"/>
      <c r="D878" s="18"/>
      <c r="E878" s="1"/>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4.25" customHeight="1" x14ac:dyDescent="0.2">
      <c r="A879" s="28"/>
      <c r="B879" s="28"/>
      <c r="C879" s="1"/>
      <c r="D879" s="18"/>
      <c r="E879" s="1"/>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4.25" customHeight="1" x14ac:dyDescent="0.2">
      <c r="A880" s="28"/>
      <c r="B880" s="28"/>
      <c r="C880" s="1"/>
      <c r="D880" s="18"/>
      <c r="E880" s="1"/>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4.25" customHeight="1" x14ac:dyDescent="0.2">
      <c r="A881" s="28"/>
      <c r="B881" s="28"/>
      <c r="C881" s="1"/>
      <c r="D881" s="18"/>
      <c r="E881" s="1"/>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4.25" customHeight="1" x14ac:dyDescent="0.2">
      <c r="A882" s="28"/>
      <c r="B882" s="28"/>
      <c r="C882" s="1"/>
      <c r="D882" s="18"/>
      <c r="E882" s="1"/>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4.25" customHeight="1" x14ac:dyDescent="0.2">
      <c r="A883" s="28"/>
      <c r="B883" s="28"/>
      <c r="C883" s="1"/>
      <c r="D883" s="18"/>
      <c r="E883" s="1"/>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4.25" customHeight="1" x14ac:dyDescent="0.2">
      <c r="A884" s="28"/>
      <c r="B884" s="28"/>
      <c r="C884" s="1"/>
      <c r="D884" s="18"/>
      <c r="E884" s="1"/>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4.25" customHeight="1" x14ac:dyDescent="0.2">
      <c r="A885" s="28"/>
      <c r="B885" s="28"/>
      <c r="C885" s="1"/>
      <c r="D885" s="18"/>
      <c r="E885" s="1"/>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4.25" customHeight="1" x14ac:dyDescent="0.2">
      <c r="A886" s="28"/>
      <c r="B886" s="28"/>
      <c r="C886" s="1"/>
      <c r="D886" s="18"/>
      <c r="E886" s="1"/>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4.25" customHeight="1" x14ac:dyDescent="0.2">
      <c r="A887" s="28"/>
      <c r="B887" s="28"/>
      <c r="C887" s="1"/>
      <c r="D887" s="18"/>
      <c r="E887" s="1"/>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4.25" customHeight="1" x14ac:dyDescent="0.2">
      <c r="A888" s="28"/>
      <c r="B888" s="28"/>
      <c r="C888" s="1"/>
      <c r="D888" s="18"/>
      <c r="E888" s="1"/>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4.25" customHeight="1" x14ac:dyDescent="0.2">
      <c r="A889" s="28"/>
      <c r="B889" s="28"/>
      <c r="C889" s="1"/>
      <c r="D889" s="18"/>
      <c r="E889" s="1"/>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4.25" customHeight="1" x14ac:dyDescent="0.2">
      <c r="A890" s="28"/>
      <c r="B890" s="28"/>
      <c r="C890" s="1"/>
      <c r="D890" s="18"/>
      <c r="E890" s="1"/>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4.25" customHeight="1" x14ac:dyDescent="0.2">
      <c r="A891" s="28"/>
      <c r="B891" s="28"/>
      <c r="C891" s="1"/>
      <c r="D891" s="18"/>
      <c r="E891" s="1"/>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4.25" customHeight="1" x14ac:dyDescent="0.2">
      <c r="A892" s="28"/>
      <c r="B892" s="28"/>
      <c r="C892" s="1"/>
      <c r="D892" s="18"/>
      <c r="E892" s="1"/>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4.25" customHeight="1" x14ac:dyDescent="0.2">
      <c r="A893" s="28"/>
      <c r="B893" s="28"/>
      <c r="C893" s="1"/>
      <c r="D893" s="18"/>
      <c r="E893" s="1"/>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4.25" customHeight="1" x14ac:dyDescent="0.2">
      <c r="A894" s="28"/>
      <c r="B894" s="28"/>
      <c r="C894" s="1"/>
      <c r="D894" s="18"/>
      <c r="E894" s="1"/>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4.25" customHeight="1" x14ac:dyDescent="0.2">
      <c r="A895" s="28"/>
      <c r="B895" s="28"/>
      <c r="C895" s="1"/>
      <c r="D895" s="18"/>
      <c r="E895" s="1"/>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4.25" customHeight="1" x14ac:dyDescent="0.2">
      <c r="A896" s="28"/>
      <c r="B896" s="28"/>
      <c r="C896" s="1"/>
      <c r="D896" s="18"/>
      <c r="E896" s="1"/>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4.25" customHeight="1" x14ac:dyDescent="0.2">
      <c r="A897" s="28"/>
      <c r="B897" s="28"/>
      <c r="C897" s="1"/>
      <c r="D897" s="18"/>
      <c r="E897" s="1"/>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4.25" customHeight="1" x14ac:dyDescent="0.2">
      <c r="A898" s="28"/>
      <c r="B898" s="28"/>
      <c r="C898" s="1"/>
      <c r="D898" s="18"/>
      <c r="E898" s="1"/>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4.25" customHeight="1" x14ac:dyDescent="0.2">
      <c r="A899" s="28"/>
      <c r="B899" s="28"/>
      <c r="C899" s="1"/>
      <c r="D899" s="18"/>
      <c r="E899" s="1"/>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4.25" customHeight="1" x14ac:dyDescent="0.2">
      <c r="A900" s="28"/>
      <c r="B900" s="28"/>
      <c r="C900" s="1"/>
      <c r="D900" s="18"/>
      <c r="E900" s="1"/>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4.25" customHeight="1" x14ac:dyDescent="0.2">
      <c r="A901" s="28"/>
      <c r="B901" s="28"/>
      <c r="C901" s="1"/>
      <c r="D901" s="18"/>
      <c r="E901" s="1"/>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4.25" customHeight="1" x14ac:dyDescent="0.2">
      <c r="A902" s="28"/>
      <c r="B902" s="28"/>
      <c r="C902" s="1"/>
      <c r="D902" s="18"/>
      <c r="E902" s="1"/>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4.25" customHeight="1" x14ac:dyDescent="0.2">
      <c r="A903" s="28"/>
      <c r="B903" s="28"/>
      <c r="C903" s="1"/>
      <c r="D903" s="18"/>
      <c r="E903" s="1"/>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4.25" customHeight="1" x14ac:dyDescent="0.2">
      <c r="A904" s="28"/>
      <c r="B904" s="28"/>
      <c r="C904" s="1"/>
      <c r="D904" s="18"/>
      <c r="E904" s="1"/>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4.25" customHeight="1" x14ac:dyDescent="0.2">
      <c r="A905" s="28"/>
      <c r="B905" s="28"/>
      <c r="C905" s="1"/>
      <c r="D905" s="18"/>
      <c r="E905" s="1"/>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4.25" customHeight="1" x14ac:dyDescent="0.2">
      <c r="A906" s="28"/>
      <c r="B906" s="28"/>
      <c r="C906" s="1"/>
      <c r="D906" s="18"/>
      <c r="E906" s="1"/>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4.25" customHeight="1" x14ac:dyDescent="0.2">
      <c r="A907" s="28"/>
      <c r="B907" s="28"/>
      <c r="C907" s="1"/>
      <c r="D907" s="18"/>
      <c r="E907" s="1"/>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4.25" customHeight="1" x14ac:dyDescent="0.2">
      <c r="A908" s="28"/>
      <c r="B908" s="28"/>
      <c r="C908" s="1"/>
      <c r="D908" s="18"/>
      <c r="E908" s="1"/>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4.25" customHeight="1" x14ac:dyDescent="0.2">
      <c r="A909" s="28"/>
      <c r="B909" s="28"/>
      <c r="C909" s="1"/>
      <c r="D909" s="18"/>
      <c r="E909" s="1"/>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4.25" customHeight="1" x14ac:dyDescent="0.2">
      <c r="A910" s="28"/>
      <c r="B910" s="28"/>
      <c r="C910" s="1"/>
      <c r="D910" s="18"/>
      <c r="E910" s="1"/>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4.25" customHeight="1" x14ac:dyDescent="0.2">
      <c r="A911" s="28"/>
      <c r="B911" s="28"/>
      <c r="C911" s="1"/>
      <c r="D911" s="18"/>
      <c r="E911" s="1"/>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4.25" customHeight="1" x14ac:dyDescent="0.2">
      <c r="A912" s="28"/>
      <c r="B912" s="28"/>
      <c r="C912" s="1"/>
      <c r="D912" s="18"/>
      <c r="E912" s="1"/>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4.25" customHeight="1" x14ac:dyDescent="0.2">
      <c r="A913" s="28"/>
      <c r="B913" s="28"/>
      <c r="C913" s="1"/>
      <c r="D913" s="18"/>
      <c r="E913" s="1"/>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4.25" customHeight="1" x14ac:dyDescent="0.2">
      <c r="A914" s="28"/>
      <c r="B914" s="28"/>
      <c r="C914" s="1"/>
      <c r="D914" s="18"/>
      <c r="E914" s="1"/>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4.25" customHeight="1" x14ac:dyDescent="0.2">
      <c r="A915" s="28"/>
      <c r="B915" s="28"/>
      <c r="C915" s="1"/>
      <c r="D915" s="18"/>
      <c r="E915" s="1"/>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4.25" customHeight="1" x14ac:dyDescent="0.2">
      <c r="A916" s="28"/>
      <c r="B916" s="28"/>
      <c r="C916" s="1"/>
      <c r="D916" s="18"/>
      <c r="E916" s="1"/>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4.25" customHeight="1" x14ac:dyDescent="0.2">
      <c r="A917" s="28"/>
      <c r="B917" s="28"/>
      <c r="C917" s="1"/>
      <c r="D917" s="18"/>
      <c r="E917" s="1"/>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4.25" customHeight="1" x14ac:dyDescent="0.2">
      <c r="A918" s="28"/>
      <c r="B918" s="28"/>
      <c r="C918" s="1"/>
      <c r="D918" s="18"/>
      <c r="E918" s="1"/>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4.25" customHeight="1" x14ac:dyDescent="0.2">
      <c r="A919" s="28"/>
      <c r="B919" s="28"/>
      <c r="C919" s="1"/>
      <c r="D919" s="18"/>
      <c r="E919" s="1"/>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4.25" customHeight="1" x14ac:dyDescent="0.2">
      <c r="A920" s="28"/>
      <c r="B920" s="28"/>
      <c r="C920" s="1"/>
      <c r="D920" s="18"/>
      <c r="E920" s="1"/>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4.25" customHeight="1" x14ac:dyDescent="0.2">
      <c r="A921" s="28"/>
      <c r="B921" s="28"/>
      <c r="C921" s="1"/>
      <c r="D921" s="18"/>
      <c r="E921" s="1"/>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4.25" customHeight="1" x14ac:dyDescent="0.2">
      <c r="A922" s="28"/>
      <c r="B922" s="28"/>
      <c r="C922" s="1"/>
      <c r="D922" s="18"/>
      <c r="E922" s="1"/>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4.25" customHeight="1" x14ac:dyDescent="0.2">
      <c r="A923" s="28"/>
      <c r="B923" s="28"/>
      <c r="C923" s="1"/>
      <c r="D923" s="18"/>
      <c r="E923" s="1"/>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4.25" customHeight="1" x14ac:dyDescent="0.2">
      <c r="A924" s="28"/>
      <c r="B924" s="28"/>
      <c r="C924" s="1"/>
      <c r="D924" s="18"/>
      <c r="E924" s="1"/>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4.25" customHeight="1" x14ac:dyDescent="0.2">
      <c r="A925" s="28"/>
      <c r="B925" s="28"/>
      <c r="C925" s="1"/>
      <c r="D925" s="18"/>
      <c r="E925" s="1"/>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4.25" customHeight="1" x14ac:dyDescent="0.2">
      <c r="A926" s="28"/>
      <c r="B926" s="28"/>
      <c r="C926" s="1"/>
      <c r="D926" s="18"/>
      <c r="E926" s="1"/>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4.25" customHeight="1" x14ac:dyDescent="0.2">
      <c r="A927" s="28"/>
      <c r="B927" s="28"/>
      <c r="C927" s="1"/>
      <c r="D927" s="18"/>
      <c r="E927" s="1"/>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4.25" customHeight="1" x14ac:dyDescent="0.2">
      <c r="A928" s="28"/>
      <c r="B928" s="28"/>
      <c r="C928" s="1"/>
      <c r="D928" s="18"/>
      <c r="E928" s="1"/>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4.25" customHeight="1" x14ac:dyDescent="0.2">
      <c r="A929" s="28"/>
      <c r="B929" s="28"/>
      <c r="C929" s="1"/>
      <c r="D929" s="18"/>
      <c r="E929" s="1"/>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4.25" customHeight="1" x14ac:dyDescent="0.2">
      <c r="A930" s="28"/>
      <c r="B930" s="28"/>
      <c r="C930" s="1"/>
      <c r="D930" s="18"/>
      <c r="E930" s="1"/>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4.25" customHeight="1" x14ac:dyDescent="0.2">
      <c r="A931" s="28"/>
      <c r="B931" s="28"/>
      <c r="C931" s="1"/>
      <c r="D931" s="18"/>
      <c r="E931" s="1"/>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4.25" customHeight="1" x14ac:dyDescent="0.2">
      <c r="A932" s="28"/>
      <c r="B932" s="28"/>
      <c r="C932" s="1"/>
      <c r="D932" s="18"/>
      <c r="E932" s="1"/>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4.25" customHeight="1" x14ac:dyDescent="0.2">
      <c r="A933" s="28"/>
      <c r="B933" s="28"/>
      <c r="C933" s="1"/>
      <c r="D933" s="18"/>
      <c r="E933" s="1"/>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4.25" customHeight="1" x14ac:dyDescent="0.2">
      <c r="A934" s="28"/>
      <c r="B934" s="28"/>
      <c r="C934" s="1"/>
      <c r="D934" s="18"/>
      <c r="E934" s="1"/>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4.25" customHeight="1" x14ac:dyDescent="0.2">
      <c r="A935" s="28"/>
      <c r="B935" s="28"/>
      <c r="C935" s="1"/>
      <c r="D935" s="18"/>
      <c r="E935" s="1"/>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4.25" customHeight="1" x14ac:dyDescent="0.2">
      <c r="A936" s="28"/>
      <c r="B936" s="28"/>
      <c r="C936" s="1"/>
      <c r="D936" s="18"/>
      <c r="E936" s="1"/>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4.25" customHeight="1" x14ac:dyDescent="0.2">
      <c r="A937" s="28"/>
      <c r="B937" s="28"/>
      <c r="C937" s="1"/>
      <c r="D937" s="18"/>
      <c r="E937" s="1"/>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4.25" customHeight="1" x14ac:dyDescent="0.2">
      <c r="A938" s="28"/>
      <c r="B938" s="28"/>
      <c r="C938" s="1"/>
      <c r="D938" s="18"/>
      <c r="E938" s="1"/>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4.25" customHeight="1" x14ac:dyDescent="0.2">
      <c r="A939" s="28"/>
      <c r="B939" s="28"/>
      <c r="C939" s="1"/>
      <c r="D939" s="18"/>
      <c r="E939" s="1"/>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4.25" customHeight="1" x14ac:dyDescent="0.2">
      <c r="A940" s="28"/>
      <c r="B940" s="28"/>
      <c r="C940" s="1"/>
      <c r="D940" s="18"/>
      <c r="E940" s="1"/>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4.25" customHeight="1" x14ac:dyDescent="0.2">
      <c r="A941" s="28"/>
      <c r="B941" s="28"/>
      <c r="C941" s="1"/>
      <c r="D941" s="18"/>
      <c r="E941" s="1"/>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4.25" customHeight="1" x14ac:dyDescent="0.2">
      <c r="A942" s="28"/>
      <c r="B942" s="28"/>
      <c r="C942" s="1"/>
      <c r="D942" s="18"/>
      <c r="E942" s="1"/>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4.25" customHeight="1" x14ac:dyDescent="0.2">
      <c r="A943" s="28"/>
      <c r="B943" s="28"/>
      <c r="C943" s="1"/>
      <c r="D943" s="18"/>
      <c r="E943" s="1"/>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4.25" customHeight="1" x14ac:dyDescent="0.2">
      <c r="A944" s="28"/>
      <c r="B944" s="28"/>
      <c r="C944" s="1"/>
      <c r="D944" s="18"/>
      <c r="E944" s="1"/>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4.25" customHeight="1" x14ac:dyDescent="0.2">
      <c r="A945" s="28"/>
      <c r="B945" s="28"/>
      <c r="C945" s="1"/>
      <c r="D945" s="18"/>
      <c r="E945" s="1"/>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4.25" customHeight="1" x14ac:dyDescent="0.2">
      <c r="A946" s="28"/>
      <c r="B946" s="28"/>
      <c r="C946" s="1"/>
      <c r="D946" s="18"/>
      <c r="E946" s="1"/>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4.25" customHeight="1" x14ac:dyDescent="0.2">
      <c r="A947" s="28"/>
      <c r="B947" s="28"/>
      <c r="C947" s="1"/>
      <c r="D947" s="18"/>
      <c r="E947" s="1"/>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4.25" customHeight="1" x14ac:dyDescent="0.2">
      <c r="A948" s="28"/>
      <c r="B948" s="28"/>
      <c r="C948" s="1"/>
      <c r="D948" s="18"/>
      <c r="E948" s="1"/>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4.25" customHeight="1" x14ac:dyDescent="0.2">
      <c r="A949" s="28"/>
      <c r="B949" s="28"/>
      <c r="C949" s="1"/>
      <c r="D949" s="18"/>
      <c r="E949" s="1"/>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4.25" customHeight="1" x14ac:dyDescent="0.2">
      <c r="A950" s="28"/>
      <c r="B950" s="28"/>
      <c r="C950" s="1"/>
      <c r="D950" s="18"/>
      <c r="E950" s="1"/>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4.25" customHeight="1" x14ac:dyDescent="0.2">
      <c r="A951" s="28"/>
      <c r="B951" s="28"/>
      <c r="C951" s="1"/>
      <c r="D951" s="18"/>
      <c r="E951" s="1"/>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4.25" customHeight="1" x14ac:dyDescent="0.2">
      <c r="A952" s="28"/>
      <c r="B952" s="28"/>
      <c r="C952" s="1"/>
      <c r="D952" s="18"/>
      <c r="E952" s="1"/>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4.25" customHeight="1" x14ac:dyDescent="0.2">
      <c r="A953" s="28"/>
      <c r="B953" s="28"/>
      <c r="C953" s="1"/>
      <c r="D953" s="18"/>
      <c r="E953" s="1"/>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4.25" customHeight="1" x14ac:dyDescent="0.2">
      <c r="A954" s="28"/>
      <c r="B954" s="28"/>
      <c r="C954" s="1"/>
      <c r="D954" s="18"/>
      <c r="E954" s="1"/>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4.25" customHeight="1" x14ac:dyDescent="0.2">
      <c r="A955" s="28"/>
      <c r="B955" s="28"/>
      <c r="C955" s="1"/>
      <c r="D955" s="18"/>
      <c r="E955" s="1"/>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4.25" customHeight="1" x14ac:dyDescent="0.2">
      <c r="A956" s="28"/>
      <c r="B956" s="28"/>
      <c r="C956" s="1"/>
      <c r="D956" s="18"/>
      <c r="E956" s="1"/>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4.25" customHeight="1" x14ac:dyDescent="0.2">
      <c r="A957" s="28"/>
      <c r="B957" s="28"/>
      <c r="C957" s="1"/>
      <c r="D957" s="18"/>
      <c r="E957" s="1"/>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4.25" customHeight="1" x14ac:dyDescent="0.2">
      <c r="A958" s="28"/>
      <c r="B958" s="28"/>
      <c r="C958" s="1"/>
      <c r="D958" s="18"/>
      <c r="E958" s="1"/>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4.25" customHeight="1" x14ac:dyDescent="0.2">
      <c r="A959" s="28"/>
      <c r="B959" s="28"/>
      <c r="C959" s="1"/>
      <c r="D959" s="18"/>
      <c r="E959" s="1"/>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4.25" customHeight="1" x14ac:dyDescent="0.2">
      <c r="A960" s="28"/>
      <c r="B960" s="28"/>
      <c r="C960" s="1"/>
      <c r="D960" s="18"/>
      <c r="E960" s="1"/>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4.25" customHeight="1" x14ac:dyDescent="0.2">
      <c r="A961" s="28"/>
      <c r="B961" s="28"/>
      <c r="C961" s="1"/>
      <c r="D961" s="18"/>
      <c r="E961" s="1"/>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4.25" customHeight="1" x14ac:dyDescent="0.2">
      <c r="A962" s="28"/>
      <c r="B962" s="28"/>
      <c r="C962" s="1"/>
      <c r="D962" s="18"/>
      <c r="E962" s="1"/>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4.25" customHeight="1" x14ac:dyDescent="0.2">
      <c r="A963" s="28"/>
      <c r="B963" s="28"/>
      <c r="C963" s="1"/>
      <c r="D963" s="18"/>
      <c r="E963" s="1"/>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4.25" customHeight="1" x14ac:dyDescent="0.2">
      <c r="A964" s="28"/>
      <c r="B964" s="28"/>
      <c r="C964" s="1"/>
      <c r="D964" s="18"/>
      <c r="E964" s="1"/>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4.25" customHeight="1" x14ac:dyDescent="0.2">
      <c r="A965" s="28"/>
      <c r="B965" s="28"/>
      <c r="C965" s="1"/>
      <c r="D965" s="18"/>
      <c r="E965" s="1"/>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4.25" customHeight="1" x14ac:dyDescent="0.2">
      <c r="A966" s="28"/>
      <c r="B966" s="28"/>
      <c r="C966" s="1"/>
      <c r="D966" s="18"/>
      <c r="E966" s="1"/>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4.25" customHeight="1" x14ac:dyDescent="0.2">
      <c r="A967" s="28"/>
      <c r="B967" s="28"/>
      <c r="C967" s="1"/>
      <c r="D967" s="18"/>
      <c r="E967" s="1"/>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4.25" customHeight="1" x14ac:dyDescent="0.2">
      <c r="A968" s="28"/>
      <c r="B968" s="28"/>
      <c r="C968" s="1"/>
      <c r="D968" s="18"/>
      <c r="E968" s="1"/>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4.25" customHeight="1" x14ac:dyDescent="0.2">
      <c r="A969" s="28"/>
      <c r="B969" s="28"/>
      <c r="C969" s="1"/>
      <c r="D969" s="18"/>
      <c r="E969" s="1"/>
      <c r="F969" s="1"/>
      <c r="G969" s="1"/>
      <c r="H969" s="1"/>
      <c r="I969" s="1"/>
      <c r="J969" s="1"/>
      <c r="K969" s="1"/>
      <c r="L969" s="1"/>
      <c r="M969" s="1"/>
      <c r="N969" s="1"/>
      <c r="O969" s="1"/>
      <c r="P969" s="1"/>
      <c r="Q969" s="1"/>
      <c r="R969" s="1"/>
      <c r="S969" s="1"/>
      <c r="T969" s="1"/>
      <c r="U969" s="1"/>
      <c r="V969" s="1"/>
      <c r="W969" s="1"/>
      <c r="X969" s="1"/>
      <c r="Y969" s="1"/>
      <c r="Z969" s="1"/>
      <c r="AA969" s="1"/>
      <c r="AB969" s="1"/>
    </row>
    <row r="970" spans="1:28" ht="14.25" customHeight="1" x14ac:dyDescent="0.2">
      <c r="A970" s="28"/>
      <c r="B970" s="28"/>
      <c r="C970" s="1"/>
      <c r="D970" s="18"/>
      <c r="E970" s="1"/>
      <c r="F970" s="1"/>
      <c r="G970" s="1"/>
      <c r="H970" s="1"/>
      <c r="I970" s="1"/>
      <c r="J970" s="1"/>
      <c r="K970" s="1"/>
      <c r="L970" s="1"/>
      <c r="M970" s="1"/>
      <c r="N970" s="1"/>
      <c r="O970" s="1"/>
      <c r="P970" s="1"/>
      <c r="Q970" s="1"/>
      <c r="R970" s="1"/>
      <c r="S970" s="1"/>
      <c r="T970" s="1"/>
      <c r="U970" s="1"/>
      <c r="V970" s="1"/>
      <c r="W970" s="1"/>
      <c r="X970" s="1"/>
      <c r="Y970" s="1"/>
      <c r="Z970" s="1"/>
      <c r="AA970" s="1"/>
      <c r="AB970" s="1"/>
    </row>
    <row r="971" spans="1:28" ht="14.25" customHeight="1" x14ac:dyDescent="0.2">
      <c r="A971" s="28"/>
      <c r="B971" s="28"/>
      <c r="C971" s="1"/>
      <c r="D971" s="18"/>
      <c r="E971" s="1"/>
      <c r="F971" s="1"/>
      <c r="G971" s="1"/>
      <c r="H971" s="1"/>
      <c r="I971" s="1"/>
      <c r="J971" s="1"/>
      <c r="K971" s="1"/>
      <c r="L971" s="1"/>
      <c r="M971" s="1"/>
      <c r="N971" s="1"/>
      <c r="O971" s="1"/>
      <c r="P971" s="1"/>
      <c r="Q971" s="1"/>
      <c r="R971" s="1"/>
      <c r="S971" s="1"/>
      <c r="T971" s="1"/>
      <c r="U971" s="1"/>
      <c r="V971" s="1"/>
      <c r="W971" s="1"/>
      <c r="X971" s="1"/>
      <c r="Y971" s="1"/>
      <c r="Z971" s="1"/>
      <c r="AA971" s="1"/>
      <c r="AB971" s="1"/>
    </row>
    <row r="972" spans="1:28" ht="14.25" customHeight="1" x14ac:dyDescent="0.2">
      <c r="A972" s="28"/>
      <c r="B972" s="28"/>
      <c r="C972" s="1"/>
      <c r="D972" s="18"/>
      <c r="E972" s="1"/>
      <c r="F972" s="1"/>
      <c r="G972" s="1"/>
      <c r="H972" s="1"/>
      <c r="I972" s="1"/>
      <c r="J972" s="1"/>
      <c r="K972" s="1"/>
      <c r="L972" s="1"/>
      <c r="M972" s="1"/>
      <c r="N972" s="1"/>
      <c r="O972" s="1"/>
      <c r="P972" s="1"/>
      <c r="Q972" s="1"/>
      <c r="R972" s="1"/>
      <c r="S972" s="1"/>
      <c r="T972" s="1"/>
      <c r="U972" s="1"/>
      <c r="V972" s="1"/>
      <c r="W972" s="1"/>
      <c r="X972" s="1"/>
      <c r="Y972" s="1"/>
      <c r="Z972" s="1"/>
      <c r="AA972" s="1"/>
      <c r="AB972" s="1"/>
    </row>
    <row r="973" spans="1:28" ht="14.25" customHeight="1" x14ac:dyDescent="0.2">
      <c r="A973" s="28"/>
      <c r="B973" s="28"/>
      <c r="C973" s="1"/>
      <c r="D973" s="18"/>
      <c r="E973" s="1"/>
      <c r="F973" s="1"/>
      <c r="G973" s="1"/>
      <c r="H973" s="1"/>
      <c r="I973" s="1"/>
      <c r="J973" s="1"/>
      <c r="K973" s="1"/>
      <c r="L973" s="1"/>
      <c r="M973" s="1"/>
      <c r="N973" s="1"/>
      <c r="O973" s="1"/>
      <c r="P973" s="1"/>
      <c r="Q973" s="1"/>
      <c r="R973" s="1"/>
      <c r="S973" s="1"/>
      <c r="T973" s="1"/>
      <c r="U973" s="1"/>
      <c r="V973" s="1"/>
      <c r="W973" s="1"/>
      <c r="X973" s="1"/>
      <c r="Y973" s="1"/>
      <c r="Z973" s="1"/>
      <c r="AA973" s="1"/>
      <c r="AB973" s="1"/>
    </row>
    <row r="974" spans="1:28" ht="14.25" customHeight="1" x14ac:dyDescent="0.2">
      <c r="A974" s="28"/>
      <c r="B974" s="28"/>
      <c r="C974" s="1"/>
      <c r="D974" s="18"/>
      <c r="E974" s="1"/>
      <c r="F974" s="1"/>
      <c r="G974" s="1"/>
      <c r="H974" s="1"/>
      <c r="I974" s="1"/>
      <c r="J974" s="1"/>
      <c r="K974" s="1"/>
      <c r="L974" s="1"/>
      <c r="M974" s="1"/>
      <c r="N974" s="1"/>
      <c r="O974" s="1"/>
      <c r="P974" s="1"/>
      <c r="Q974" s="1"/>
      <c r="R974" s="1"/>
      <c r="S974" s="1"/>
      <c r="T974" s="1"/>
      <c r="U974" s="1"/>
      <c r="V974" s="1"/>
      <c r="W974" s="1"/>
      <c r="X974" s="1"/>
      <c r="Y974" s="1"/>
      <c r="Z974" s="1"/>
      <c r="AA974" s="1"/>
      <c r="AB974" s="1"/>
    </row>
    <row r="975" spans="1:28" ht="14.25" customHeight="1" x14ac:dyDescent="0.2">
      <c r="A975" s="28"/>
      <c r="B975" s="28"/>
      <c r="C975" s="1"/>
      <c r="D975" s="18"/>
      <c r="E975" s="1"/>
      <c r="F975" s="1"/>
      <c r="G975" s="1"/>
      <c r="H975" s="1"/>
      <c r="I975" s="1"/>
      <c r="J975" s="1"/>
      <c r="K975" s="1"/>
      <c r="L975" s="1"/>
      <c r="M975" s="1"/>
      <c r="N975" s="1"/>
      <c r="O975" s="1"/>
      <c r="P975" s="1"/>
      <c r="Q975" s="1"/>
      <c r="R975" s="1"/>
      <c r="S975" s="1"/>
      <c r="T975" s="1"/>
      <c r="U975" s="1"/>
      <c r="V975" s="1"/>
      <c r="W975" s="1"/>
      <c r="X975" s="1"/>
      <c r="Y975" s="1"/>
      <c r="Z975" s="1"/>
      <c r="AA975" s="1"/>
      <c r="AB975" s="1"/>
    </row>
    <row r="976" spans="1:28" ht="14.25" customHeight="1" x14ac:dyDescent="0.2">
      <c r="A976" s="28"/>
      <c r="B976" s="28"/>
      <c r="C976" s="1"/>
      <c r="D976" s="18"/>
      <c r="E976" s="1"/>
      <c r="F976" s="1"/>
      <c r="G976" s="1"/>
      <c r="H976" s="1"/>
      <c r="I976" s="1"/>
      <c r="J976" s="1"/>
      <c r="K976" s="1"/>
      <c r="L976" s="1"/>
      <c r="M976" s="1"/>
      <c r="N976" s="1"/>
      <c r="O976" s="1"/>
      <c r="P976" s="1"/>
      <c r="Q976" s="1"/>
      <c r="R976" s="1"/>
      <c r="S976" s="1"/>
      <c r="T976" s="1"/>
      <c r="U976" s="1"/>
      <c r="V976" s="1"/>
      <c r="W976" s="1"/>
      <c r="X976" s="1"/>
      <c r="Y976" s="1"/>
      <c r="Z976" s="1"/>
      <c r="AA976" s="1"/>
      <c r="AB976" s="1"/>
    </row>
    <row r="977" spans="1:28" ht="14.25" customHeight="1" x14ac:dyDescent="0.2">
      <c r="A977" s="28"/>
      <c r="B977" s="28"/>
      <c r="C977" s="1"/>
      <c r="D977" s="18"/>
      <c r="E977" s="1"/>
      <c r="F977" s="1"/>
      <c r="G977" s="1"/>
      <c r="H977" s="1"/>
      <c r="I977" s="1"/>
      <c r="J977" s="1"/>
      <c r="K977" s="1"/>
      <c r="L977" s="1"/>
      <c r="M977" s="1"/>
      <c r="N977" s="1"/>
      <c r="O977" s="1"/>
      <c r="P977" s="1"/>
      <c r="Q977" s="1"/>
      <c r="R977" s="1"/>
      <c r="S977" s="1"/>
      <c r="T977" s="1"/>
      <c r="U977" s="1"/>
      <c r="V977" s="1"/>
      <c r="W977" s="1"/>
      <c r="X977" s="1"/>
      <c r="Y977" s="1"/>
      <c r="Z977" s="1"/>
      <c r="AA977" s="1"/>
      <c r="AB977" s="1"/>
    </row>
    <row r="978" spans="1:28" ht="14.25" customHeight="1" x14ac:dyDescent="0.2">
      <c r="A978" s="28"/>
      <c r="B978" s="28"/>
      <c r="C978" s="1"/>
      <c r="D978" s="18"/>
      <c r="E978" s="1"/>
      <c r="F978" s="1"/>
      <c r="G978" s="1"/>
      <c r="H978" s="1"/>
      <c r="I978" s="1"/>
      <c r="J978" s="1"/>
      <c r="K978" s="1"/>
      <c r="L978" s="1"/>
      <c r="M978" s="1"/>
      <c r="N978" s="1"/>
      <c r="O978" s="1"/>
      <c r="P978" s="1"/>
      <c r="Q978" s="1"/>
      <c r="R978" s="1"/>
      <c r="S978" s="1"/>
      <c r="T978" s="1"/>
      <c r="U978" s="1"/>
      <c r="V978" s="1"/>
      <c r="W978" s="1"/>
      <c r="X978" s="1"/>
      <c r="Y978" s="1"/>
      <c r="Z978" s="1"/>
      <c r="AA978" s="1"/>
      <c r="AB978" s="1"/>
    </row>
    <row r="979" spans="1:28" ht="14.25" customHeight="1" x14ac:dyDescent="0.2">
      <c r="A979" s="28"/>
      <c r="B979" s="28"/>
      <c r="C979" s="1"/>
      <c r="D979" s="18"/>
      <c r="E979" s="1"/>
      <c r="F979" s="1"/>
      <c r="G979" s="1"/>
      <c r="H979" s="1"/>
      <c r="I979" s="1"/>
      <c r="J979" s="1"/>
      <c r="K979" s="1"/>
      <c r="L979" s="1"/>
      <c r="M979" s="1"/>
      <c r="N979" s="1"/>
      <c r="O979" s="1"/>
      <c r="P979" s="1"/>
      <c r="Q979" s="1"/>
      <c r="R979" s="1"/>
      <c r="S979" s="1"/>
      <c r="T979" s="1"/>
      <c r="U979" s="1"/>
      <c r="V979" s="1"/>
      <c r="W979" s="1"/>
      <c r="X979" s="1"/>
      <c r="Y979" s="1"/>
      <c r="Z979" s="1"/>
      <c r="AA979" s="1"/>
      <c r="AB979" s="1"/>
    </row>
    <row r="980" spans="1:28" ht="14.25" customHeight="1" x14ac:dyDescent="0.2">
      <c r="A980" s="28"/>
      <c r="B980" s="28"/>
      <c r="C980" s="1"/>
      <c r="D980" s="18"/>
      <c r="E980" s="1"/>
      <c r="F980" s="1"/>
      <c r="G980" s="1"/>
      <c r="H980" s="1"/>
      <c r="I980" s="1"/>
      <c r="J980" s="1"/>
      <c r="K980" s="1"/>
      <c r="L980" s="1"/>
      <c r="M980" s="1"/>
      <c r="N980" s="1"/>
      <c r="O980" s="1"/>
      <c r="P980" s="1"/>
      <c r="Q980" s="1"/>
      <c r="R980" s="1"/>
      <c r="S980" s="1"/>
      <c r="T980" s="1"/>
      <c r="U980" s="1"/>
      <c r="V980" s="1"/>
      <c r="W980" s="1"/>
      <c r="X980" s="1"/>
      <c r="Y980" s="1"/>
      <c r="Z980" s="1"/>
      <c r="AA980" s="1"/>
      <c r="AB980" s="1"/>
    </row>
    <row r="981" spans="1:28" ht="14.25" customHeight="1" x14ac:dyDescent="0.2">
      <c r="A981" s="28"/>
      <c r="B981" s="28"/>
      <c r="C981" s="1"/>
      <c r="D981" s="18"/>
      <c r="E981" s="1"/>
      <c r="F981" s="1"/>
      <c r="G981" s="1"/>
      <c r="H981" s="1"/>
      <c r="I981" s="1"/>
      <c r="J981" s="1"/>
      <c r="K981" s="1"/>
      <c r="L981" s="1"/>
      <c r="M981" s="1"/>
      <c r="N981" s="1"/>
      <c r="O981" s="1"/>
      <c r="P981" s="1"/>
      <c r="Q981" s="1"/>
      <c r="R981" s="1"/>
      <c r="S981" s="1"/>
      <c r="T981" s="1"/>
      <c r="U981" s="1"/>
      <c r="V981" s="1"/>
      <c r="W981" s="1"/>
      <c r="X981" s="1"/>
      <c r="Y981" s="1"/>
      <c r="Z981" s="1"/>
      <c r="AA981" s="1"/>
      <c r="AB981" s="1"/>
    </row>
    <row r="982" spans="1:28" ht="14.25" customHeight="1" x14ac:dyDescent="0.2">
      <c r="A982" s="28"/>
      <c r="B982" s="28"/>
      <c r="C982" s="1"/>
      <c r="D982" s="18"/>
      <c r="E982" s="1"/>
      <c r="F982" s="1"/>
      <c r="G982" s="1"/>
      <c r="H982" s="1"/>
      <c r="I982" s="1"/>
      <c r="J982" s="1"/>
      <c r="K982" s="1"/>
      <c r="L982" s="1"/>
      <c r="M982" s="1"/>
      <c r="N982" s="1"/>
      <c r="O982" s="1"/>
      <c r="P982" s="1"/>
      <c r="Q982" s="1"/>
      <c r="R982" s="1"/>
      <c r="S982" s="1"/>
      <c r="T982" s="1"/>
      <c r="U982" s="1"/>
      <c r="V982" s="1"/>
      <c r="W982" s="1"/>
      <c r="X982" s="1"/>
      <c r="Y982" s="1"/>
      <c r="Z982" s="1"/>
      <c r="AA982" s="1"/>
      <c r="AB982" s="1"/>
    </row>
    <row r="983" spans="1:28" ht="14.25" customHeight="1" x14ac:dyDescent="0.2">
      <c r="A983" s="28"/>
      <c r="B983" s="28"/>
      <c r="C983" s="1"/>
      <c r="D983" s="18"/>
      <c r="E983" s="1"/>
      <c r="F983" s="1"/>
      <c r="G983" s="1"/>
      <c r="H983" s="1"/>
      <c r="I983" s="1"/>
      <c r="J983" s="1"/>
      <c r="K983" s="1"/>
      <c r="L983" s="1"/>
      <c r="M983" s="1"/>
      <c r="N983" s="1"/>
      <c r="O983" s="1"/>
      <c r="P983" s="1"/>
      <c r="Q983" s="1"/>
      <c r="R983" s="1"/>
      <c r="S983" s="1"/>
      <c r="T983" s="1"/>
      <c r="U983" s="1"/>
      <c r="V983" s="1"/>
      <c r="W983" s="1"/>
      <c r="X983" s="1"/>
      <c r="Y983" s="1"/>
      <c r="Z983" s="1"/>
      <c r="AA983" s="1"/>
      <c r="AB983" s="1"/>
    </row>
    <row r="984" spans="1:28" ht="14.25" customHeight="1" x14ac:dyDescent="0.2">
      <c r="A984" s="28"/>
      <c r="B984" s="28"/>
      <c r="C984" s="1"/>
      <c r="D984" s="18"/>
      <c r="E984" s="1"/>
      <c r="F984" s="1"/>
      <c r="G984" s="1"/>
      <c r="H984" s="1"/>
      <c r="I984" s="1"/>
      <c r="J984" s="1"/>
      <c r="K984" s="1"/>
      <c r="L984" s="1"/>
      <c r="M984" s="1"/>
      <c r="N984" s="1"/>
      <c r="O984" s="1"/>
      <c r="P984" s="1"/>
      <c r="Q984" s="1"/>
      <c r="R984" s="1"/>
      <c r="S984" s="1"/>
      <c r="T984" s="1"/>
      <c r="U984" s="1"/>
      <c r="V984" s="1"/>
      <c r="W984" s="1"/>
      <c r="X984" s="1"/>
      <c r="Y984" s="1"/>
      <c r="Z984" s="1"/>
      <c r="AA984" s="1"/>
      <c r="AB984" s="1"/>
    </row>
    <row r="985" spans="1:28" ht="14.25" customHeight="1" x14ac:dyDescent="0.2">
      <c r="A985" s="28"/>
      <c r="B985" s="28"/>
      <c r="C985" s="1"/>
      <c r="D985" s="18"/>
      <c r="E985" s="1"/>
      <c r="F985" s="1"/>
      <c r="G985" s="1"/>
      <c r="H985" s="1"/>
      <c r="I985" s="1"/>
      <c r="J985" s="1"/>
      <c r="K985" s="1"/>
      <c r="L985" s="1"/>
      <c r="M985" s="1"/>
      <c r="N985" s="1"/>
      <c r="O985" s="1"/>
      <c r="P985" s="1"/>
      <c r="Q985" s="1"/>
      <c r="R985" s="1"/>
      <c r="S985" s="1"/>
      <c r="T985" s="1"/>
      <c r="U985" s="1"/>
      <c r="V985" s="1"/>
      <c r="W985" s="1"/>
      <c r="X985" s="1"/>
      <c r="Y985" s="1"/>
      <c r="Z985" s="1"/>
      <c r="AA985" s="1"/>
      <c r="AB985" s="1"/>
    </row>
    <row r="986" spans="1:28" ht="14.25" customHeight="1" x14ac:dyDescent="0.2">
      <c r="A986" s="28"/>
      <c r="B986" s="28"/>
      <c r="C986" s="1"/>
      <c r="D986" s="18"/>
      <c r="E986" s="1"/>
      <c r="F986" s="1"/>
      <c r="G986" s="1"/>
      <c r="H986" s="1"/>
      <c r="I986" s="1"/>
      <c r="J986" s="1"/>
      <c r="K986" s="1"/>
      <c r="L986" s="1"/>
      <c r="M986" s="1"/>
      <c r="N986" s="1"/>
      <c r="O986" s="1"/>
      <c r="P986" s="1"/>
      <c r="Q986" s="1"/>
      <c r="R986" s="1"/>
      <c r="S986" s="1"/>
      <c r="T986" s="1"/>
      <c r="U986" s="1"/>
      <c r="V986" s="1"/>
      <c r="W986" s="1"/>
      <c r="X986" s="1"/>
      <c r="Y986" s="1"/>
      <c r="Z986" s="1"/>
      <c r="AA986" s="1"/>
      <c r="AB986" s="1"/>
    </row>
    <row r="987" spans="1:28" ht="14.25" customHeight="1" x14ac:dyDescent="0.2">
      <c r="A987" s="28"/>
      <c r="B987" s="28"/>
      <c r="C987" s="1"/>
      <c r="D987" s="18"/>
      <c r="E987" s="1"/>
      <c r="F987" s="1"/>
      <c r="G987" s="1"/>
      <c r="H987" s="1"/>
      <c r="I987" s="1"/>
      <c r="J987" s="1"/>
      <c r="K987" s="1"/>
      <c r="L987" s="1"/>
      <c r="M987" s="1"/>
      <c r="N987" s="1"/>
      <c r="O987" s="1"/>
      <c r="P987" s="1"/>
      <c r="Q987" s="1"/>
      <c r="R987" s="1"/>
      <c r="S987" s="1"/>
      <c r="T987" s="1"/>
      <c r="U987" s="1"/>
      <c r="V987" s="1"/>
      <c r="W987" s="1"/>
      <c r="X987" s="1"/>
      <c r="Y987" s="1"/>
      <c r="Z987" s="1"/>
      <c r="AA987" s="1"/>
      <c r="AB987" s="1"/>
    </row>
    <row r="988" spans="1:28" ht="14.25" customHeight="1" x14ac:dyDescent="0.2">
      <c r="A988" s="28"/>
      <c r="B988" s="28"/>
      <c r="C988" s="1"/>
      <c r="D988" s="18"/>
      <c r="E988" s="1"/>
      <c r="F988" s="1"/>
      <c r="G988" s="1"/>
      <c r="H988" s="1"/>
      <c r="I988" s="1"/>
      <c r="J988" s="1"/>
      <c r="K988" s="1"/>
      <c r="L988" s="1"/>
      <c r="M988" s="1"/>
      <c r="N988" s="1"/>
      <c r="O988" s="1"/>
      <c r="P988" s="1"/>
      <c r="Q988" s="1"/>
      <c r="R988" s="1"/>
      <c r="S988" s="1"/>
      <c r="T988" s="1"/>
      <c r="U988" s="1"/>
      <c r="V988" s="1"/>
      <c r="W988" s="1"/>
      <c r="X988" s="1"/>
      <c r="Y988" s="1"/>
      <c r="Z988" s="1"/>
      <c r="AA988" s="1"/>
      <c r="AB988" s="1"/>
    </row>
    <row r="989" spans="1:28" ht="14.25" customHeight="1" x14ac:dyDescent="0.2">
      <c r="A989" s="28"/>
      <c r="B989" s="28"/>
      <c r="C989" s="1"/>
      <c r="D989" s="18"/>
      <c r="E989" s="1"/>
      <c r="F989" s="1"/>
      <c r="G989" s="1"/>
      <c r="H989" s="1"/>
      <c r="I989" s="1"/>
      <c r="J989" s="1"/>
      <c r="K989" s="1"/>
      <c r="L989" s="1"/>
      <c r="M989" s="1"/>
      <c r="N989" s="1"/>
      <c r="O989" s="1"/>
      <c r="P989" s="1"/>
      <c r="Q989" s="1"/>
      <c r="R989" s="1"/>
      <c r="S989" s="1"/>
      <c r="T989" s="1"/>
      <c r="U989" s="1"/>
      <c r="V989" s="1"/>
      <c r="W989" s="1"/>
      <c r="X989" s="1"/>
      <c r="Y989" s="1"/>
      <c r="Z989" s="1"/>
      <c r="AA989" s="1"/>
      <c r="AB989" s="1"/>
    </row>
    <row r="990" spans="1:28" ht="14.25" customHeight="1" x14ac:dyDescent="0.2">
      <c r="A990" s="28"/>
      <c r="B990" s="28"/>
      <c r="C990" s="1"/>
      <c r="D990" s="18"/>
      <c r="E990" s="1"/>
      <c r="F990" s="1"/>
      <c r="G990" s="1"/>
      <c r="H990" s="1"/>
      <c r="I990" s="1"/>
      <c r="J990" s="1"/>
      <c r="K990" s="1"/>
      <c r="L990" s="1"/>
      <c r="M990" s="1"/>
      <c r="N990" s="1"/>
      <c r="O990" s="1"/>
      <c r="P990" s="1"/>
      <c r="Q990" s="1"/>
      <c r="R990" s="1"/>
      <c r="S990" s="1"/>
      <c r="T990" s="1"/>
      <c r="U990" s="1"/>
      <c r="V990" s="1"/>
      <c r="W990" s="1"/>
      <c r="X990" s="1"/>
      <c r="Y990" s="1"/>
      <c r="Z990" s="1"/>
      <c r="AA990" s="1"/>
      <c r="AB990" s="1"/>
    </row>
  </sheetData>
  <autoFilter ref="B1:L315" xr:uid="{00000000-0009-0000-0000-000000000000}"/>
  <mergeCells count="1">
    <mergeCell ref="A1:A314"/>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C70FB-4E6E-44AB-88C3-2893232FEBFD}">
  <sheetPr>
    <tabColor rgb="FF00B0F0"/>
  </sheetPr>
  <dimension ref="A1:J316"/>
  <sheetViews>
    <sheetView topLeftCell="G1" workbookViewId="0">
      <selection activeCell="D219" sqref="D219"/>
    </sheetView>
  </sheetViews>
  <sheetFormatPr baseColWidth="10" defaultColWidth="8.83203125" defaultRowHeight="15" x14ac:dyDescent="0.2"/>
  <cols>
    <col min="2" max="2" width="14.5" bestFit="1" customWidth="1"/>
    <col min="3" max="3" width="11.6640625" bestFit="1" customWidth="1"/>
    <col min="4" max="4" width="26.83203125" customWidth="1"/>
    <col min="5" max="5" width="30.1640625" customWidth="1"/>
    <col min="6" max="6" width="29.5" customWidth="1"/>
    <col min="7" max="7" width="27" customWidth="1"/>
    <col min="8" max="8" width="24.5" customWidth="1"/>
    <col min="9" max="9" width="74.5" customWidth="1"/>
  </cols>
  <sheetData>
    <row r="1" spans="1:9" ht="135.75" customHeight="1" x14ac:dyDescent="0.2">
      <c r="A1" s="45" t="s">
        <v>25</v>
      </c>
      <c r="B1" s="45" t="s">
        <v>26</v>
      </c>
      <c r="C1" s="45" t="s">
        <v>27</v>
      </c>
      <c r="D1" s="46" t="s">
        <v>861</v>
      </c>
      <c r="E1" s="46" t="s">
        <v>862</v>
      </c>
      <c r="F1" s="48" t="s">
        <v>863</v>
      </c>
      <c r="G1" s="48" t="s">
        <v>864</v>
      </c>
      <c r="H1" s="46" t="s">
        <v>865</v>
      </c>
      <c r="I1" s="47" t="s">
        <v>866</v>
      </c>
    </row>
    <row r="2" spans="1:9" ht="16" x14ac:dyDescent="0.2">
      <c r="A2" s="49" t="s">
        <v>34</v>
      </c>
      <c r="B2" s="49" t="s">
        <v>33</v>
      </c>
      <c r="C2" s="50"/>
      <c r="D2" s="50" t="s">
        <v>867</v>
      </c>
      <c r="E2" s="51" t="s">
        <v>868</v>
      </c>
      <c r="F2" s="52" t="s">
        <v>37</v>
      </c>
      <c r="G2" s="52" t="s">
        <v>869</v>
      </c>
      <c r="H2" s="52" t="s">
        <v>37</v>
      </c>
      <c r="I2" s="55" t="s">
        <v>870</v>
      </c>
    </row>
    <row r="3" spans="1:9" ht="16" x14ac:dyDescent="0.2">
      <c r="A3" s="49" t="s">
        <v>39</v>
      </c>
      <c r="B3" s="49" t="s">
        <v>38</v>
      </c>
      <c r="C3" s="50" t="s">
        <v>35</v>
      </c>
      <c r="D3" s="50" t="s">
        <v>867</v>
      </c>
      <c r="E3" s="51" t="s">
        <v>868</v>
      </c>
      <c r="F3" s="52" t="s">
        <v>37</v>
      </c>
      <c r="G3" s="52" t="s">
        <v>871</v>
      </c>
      <c r="H3" s="52" t="s">
        <v>37</v>
      </c>
      <c r="I3" s="55" t="s">
        <v>872</v>
      </c>
    </row>
    <row r="4" spans="1:9" ht="16" x14ac:dyDescent="0.2">
      <c r="A4" s="49" t="s">
        <v>42</v>
      </c>
      <c r="B4" s="49" t="s">
        <v>41</v>
      </c>
      <c r="C4" s="50" t="s">
        <v>35</v>
      </c>
      <c r="D4" s="50" t="s">
        <v>867</v>
      </c>
      <c r="E4" s="51" t="s">
        <v>868</v>
      </c>
      <c r="F4" s="52" t="s">
        <v>37</v>
      </c>
      <c r="G4" s="52" t="s">
        <v>873</v>
      </c>
      <c r="H4" s="52" t="s">
        <v>37</v>
      </c>
      <c r="I4" s="55" t="s">
        <v>874</v>
      </c>
    </row>
    <row r="5" spans="1:9" ht="16" x14ac:dyDescent="0.2">
      <c r="A5" s="49" t="s">
        <v>44</v>
      </c>
      <c r="B5" s="49" t="s">
        <v>45</v>
      </c>
      <c r="C5" s="50" t="s">
        <v>35</v>
      </c>
      <c r="D5" s="50" t="s">
        <v>867</v>
      </c>
      <c r="E5" s="51" t="s">
        <v>868</v>
      </c>
      <c r="F5" s="52" t="s">
        <v>37</v>
      </c>
      <c r="G5" s="52" t="s">
        <v>875</v>
      </c>
      <c r="H5" s="52" t="s">
        <v>37</v>
      </c>
      <c r="I5" s="55" t="s">
        <v>876</v>
      </c>
    </row>
    <row r="6" spans="1:9" ht="16" x14ac:dyDescent="0.2">
      <c r="A6" s="49" t="s">
        <v>47</v>
      </c>
      <c r="B6" s="49" t="s">
        <v>46</v>
      </c>
      <c r="C6" s="50" t="s">
        <v>35</v>
      </c>
      <c r="D6" s="50" t="s">
        <v>867</v>
      </c>
      <c r="E6" s="51" t="s">
        <v>868</v>
      </c>
      <c r="F6" s="52" t="s">
        <v>37</v>
      </c>
      <c r="G6" s="52" t="s">
        <v>877</v>
      </c>
      <c r="H6" s="52" t="s">
        <v>37</v>
      </c>
      <c r="I6" s="55" t="s">
        <v>878</v>
      </c>
    </row>
    <row r="7" spans="1:9" ht="16" x14ac:dyDescent="0.2">
      <c r="A7" s="49" t="s">
        <v>49</v>
      </c>
      <c r="B7" s="49" t="s">
        <v>50</v>
      </c>
      <c r="C7" s="50" t="s">
        <v>35</v>
      </c>
      <c r="D7" s="50" t="s">
        <v>51</v>
      </c>
      <c r="E7" s="51" t="s">
        <v>879</v>
      </c>
      <c r="F7" s="50" t="s">
        <v>880</v>
      </c>
      <c r="G7" s="50" t="s">
        <v>881</v>
      </c>
      <c r="H7" s="50"/>
      <c r="I7" s="53" t="s">
        <v>882</v>
      </c>
    </row>
    <row r="8" spans="1:9" ht="16" x14ac:dyDescent="0.2">
      <c r="A8" s="49" t="s">
        <v>55</v>
      </c>
      <c r="B8" s="49" t="s">
        <v>56</v>
      </c>
      <c r="C8" s="50" t="s">
        <v>57</v>
      </c>
      <c r="D8" s="50" t="s">
        <v>51</v>
      </c>
      <c r="E8" s="51" t="s">
        <v>879</v>
      </c>
      <c r="F8" s="50" t="s">
        <v>883</v>
      </c>
      <c r="G8" s="50"/>
      <c r="H8" s="50"/>
      <c r="I8" s="51" t="s">
        <v>884</v>
      </c>
    </row>
    <row r="9" spans="1:9" ht="16" x14ac:dyDescent="0.2">
      <c r="A9" s="49" t="s">
        <v>59</v>
      </c>
      <c r="B9" s="49" t="s">
        <v>60</v>
      </c>
      <c r="C9" s="50" t="s">
        <v>35</v>
      </c>
      <c r="D9" s="50" t="s">
        <v>867</v>
      </c>
      <c r="E9" s="51" t="s">
        <v>868</v>
      </c>
      <c r="F9" s="52" t="s">
        <v>37</v>
      </c>
      <c r="G9" s="52" t="s">
        <v>885</v>
      </c>
      <c r="H9" s="52" t="s">
        <v>37</v>
      </c>
      <c r="I9" s="55" t="s">
        <v>886</v>
      </c>
    </row>
    <row r="10" spans="1:9" ht="16" x14ac:dyDescent="0.2">
      <c r="A10" s="49" t="s">
        <v>62</v>
      </c>
      <c r="B10" s="49" t="s">
        <v>61</v>
      </c>
      <c r="C10" s="50" t="s">
        <v>35</v>
      </c>
      <c r="D10" s="50" t="s">
        <v>867</v>
      </c>
      <c r="E10" s="51" t="s">
        <v>868</v>
      </c>
      <c r="F10" s="52" t="s">
        <v>37</v>
      </c>
      <c r="G10" s="52" t="s">
        <v>887</v>
      </c>
      <c r="H10" s="52" t="s">
        <v>37</v>
      </c>
      <c r="I10" s="55" t="s">
        <v>888</v>
      </c>
    </row>
    <row r="11" spans="1:9" ht="16" x14ac:dyDescent="0.2">
      <c r="A11" s="49" t="s">
        <v>64</v>
      </c>
      <c r="B11" s="49" t="s">
        <v>63</v>
      </c>
      <c r="C11" s="50" t="s">
        <v>65</v>
      </c>
      <c r="D11" s="50" t="s">
        <v>867</v>
      </c>
      <c r="E11" s="51" t="s">
        <v>868</v>
      </c>
      <c r="F11" s="50" t="s">
        <v>880</v>
      </c>
      <c r="G11" s="50" t="s">
        <v>889</v>
      </c>
      <c r="H11" s="50"/>
      <c r="I11" s="51"/>
    </row>
    <row r="12" spans="1:9" ht="16" x14ac:dyDescent="0.2">
      <c r="A12" s="49" t="s">
        <v>68</v>
      </c>
      <c r="B12" s="49" t="s">
        <v>69</v>
      </c>
      <c r="C12" s="50" t="s">
        <v>57</v>
      </c>
      <c r="D12" s="50" t="s">
        <v>867</v>
      </c>
      <c r="E12" s="51" t="s">
        <v>868</v>
      </c>
      <c r="F12" s="52" t="s">
        <v>37</v>
      </c>
      <c r="G12" s="52" t="s">
        <v>890</v>
      </c>
      <c r="H12" s="52" t="s">
        <v>37</v>
      </c>
      <c r="I12" s="55" t="s">
        <v>891</v>
      </c>
    </row>
    <row r="13" spans="1:9" ht="16" x14ac:dyDescent="0.2">
      <c r="A13" s="49" t="s">
        <v>71</v>
      </c>
      <c r="B13" s="49" t="s">
        <v>72</v>
      </c>
      <c r="C13" s="50" t="s">
        <v>57</v>
      </c>
      <c r="D13" s="50" t="s">
        <v>867</v>
      </c>
      <c r="E13" s="51" t="s">
        <v>868</v>
      </c>
      <c r="F13" s="52" t="s">
        <v>37</v>
      </c>
      <c r="G13" s="52" t="s">
        <v>892</v>
      </c>
      <c r="H13" s="52" t="s">
        <v>37</v>
      </c>
      <c r="I13" s="55" t="s">
        <v>893</v>
      </c>
    </row>
    <row r="14" spans="1:9" ht="16" x14ac:dyDescent="0.2">
      <c r="A14" s="49" t="s">
        <v>74</v>
      </c>
      <c r="B14" s="49" t="s">
        <v>75</v>
      </c>
      <c r="C14" s="50" t="s">
        <v>35</v>
      </c>
      <c r="D14" s="50" t="s">
        <v>867</v>
      </c>
      <c r="E14" s="51" t="s">
        <v>868</v>
      </c>
      <c r="F14" s="52" t="s">
        <v>37</v>
      </c>
      <c r="G14" s="52" t="s">
        <v>894</v>
      </c>
      <c r="H14" s="52" t="s">
        <v>37</v>
      </c>
      <c r="I14" s="55" t="s">
        <v>895</v>
      </c>
    </row>
    <row r="15" spans="1:9" ht="16" x14ac:dyDescent="0.2">
      <c r="A15" s="49" t="s">
        <v>77</v>
      </c>
      <c r="B15" s="49" t="s">
        <v>76</v>
      </c>
      <c r="C15" s="50" t="s">
        <v>35</v>
      </c>
      <c r="D15" s="50" t="s">
        <v>867</v>
      </c>
      <c r="E15" s="51" t="s">
        <v>868</v>
      </c>
      <c r="F15" s="52"/>
      <c r="G15" s="52" t="s">
        <v>114</v>
      </c>
      <c r="H15" s="52"/>
      <c r="I15" s="55" t="s">
        <v>896</v>
      </c>
    </row>
    <row r="16" spans="1:9" ht="16" x14ac:dyDescent="0.2">
      <c r="A16" s="49" t="s">
        <v>79</v>
      </c>
      <c r="B16" s="49" t="s">
        <v>80</v>
      </c>
      <c r="C16" s="50" t="s">
        <v>35</v>
      </c>
      <c r="D16" s="50" t="s">
        <v>867</v>
      </c>
      <c r="E16" s="51" t="s">
        <v>868</v>
      </c>
      <c r="F16" s="52" t="s">
        <v>37</v>
      </c>
      <c r="G16" s="52" t="s">
        <v>897</v>
      </c>
      <c r="H16" s="52" t="s">
        <v>37</v>
      </c>
      <c r="I16" s="55" t="s">
        <v>898</v>
      </c>
    </row>
    <row r="17" spans="1:9" ht="16" x14ac:dyDescent="0.2">
      <c r="A17" s="49" t="s">
        <v>82</v>
      </c>
      <c r="B17" s="49" t="s">
        <v>81</v>
      </c>
      <c r="C17" s="50" t="s">
        <v>35</v>
      </c>
      <c r="D17" s="50" t="s">
        <v>867</v>
      </c>
      <c r="E17" s="51" t="s">
        <v>868</v>
      </c>
      <c r="F17" s="52" t="s">
        <v>37</v>
      </c>
      <c r="G17" s="52" t="s">
        <v>899</v>
      </c>
      <c r="H17" s="52" t="s">
        <v>37</v>
      </c>
      <c r="I17" s="55" t="s">
        <v>900</v>
      </c>
    </row>
    <row r="18" spans="1:9" ht="16" x14ac:dyDescent="0.2">
      <c r="A18" s="49" t="s">
        <v>84</v>
      </c>
      <c r="B18" s="49" t="s">
        <v>85</v>
      </c>
      <c r="C18" s="50" t="s">
        <v>57</v>
      </c>
      <c r="D18" s="50" t="s">
        <v>867</v>
      </c>
      <c r="E18" s="51" t="s">
        <v>868</v>
      </c>
      <c r="F18" s="52" t="s">
        <v>37</v>
      </c>
      <c r="G18" s="52" t="s">
        <v>901</v>
      </c>
      <c r="H18" s="52" t="s">
        <v>37</v>
      </c>
      <c r="I18" s="55" t="s">
        <v>902</v>
      </c>
    </row>
    <row r="19" spans="1:9" ht="16" x14ac:dyDescent="0.2">
      <c r="A19" s="49" t="s">
        <v>87</v>
      </c>
      <c r="B19" s="49" t="s">
        <v>86</v>
      </c>
      <c r="C19" s="50" t="s">
        <v>35</v>
      </c>
      <c r="D19" s="50" t="s">
        <v>867</v>
      </c>
      <c r="E19" s="51" t="s">
        <v>868</v>
      </c>
      <c r="F19" s="52" t="s">
        <v>37</v>
      </c>
      <c r="G19" s="52" t="s">
        <v>903</v>
      </c>
      <c r="H19" s="52" t="s">
        <v>37</v>
      </c>
      <c r="I19" s="55" t="s">
        <v>904</v>
      </c>
    </row>
    <row r="20" spans="1:9" ht="16" x14ac:dyDescent="0.2">
      <c r="A20" s="49" t="s">
        <v>89</v>
      </c>
      <c r="B20" s="49" t="s">
        <v>90</v>
      </c>
      <c r="C20" s="50" t="s">
        <v>905</v>
      </c>
      <c r="D20" s="50" t="s">
        <v>51</v>
      </c>
      <c r="E20" s="51" t="s">
        <v>879</v>
      </c>
      <c r="F20" s="50" t="s">
        <v>37</v>
      </c>
      <c r="G20" s="50" t="s">
        <v>906</v>
      </c>
      <c r="H20" s="50" t="s">
        <v>37</v>
      </c>
      <c r="I20" s="53" t="s">
        <v>907</v>
      </c>
    </row>
    <row r="21" spans="1:9" ht="16" x14ac:dyDescent="0.2">
      <c r="A21" s="49" t="s">
        <v>92</v>
      </c>
      <c r="B21" s="49" t="s">
        <v>93</v>
      </c>
      <c r="C21" s="50" t="s">
        <v>57</v>
      </c>
      <c r="D21" s="50" t="s">
        <v>867</v>
      </c>
      <c r="E21" s="51" t="s">
        <v>868</v>
      </c>
      <c r="F21" s="52" t="s">
        <v>37</v>
      </c>
      <c r="G21" s="52" t="s">
        <v>908</v>
      </c>
      <c r="H21" s="52" t="s">
        <v>37</v>
      </c>
      <c r="I21" s="55" t="s">
        <v>909</v>
      </c>
    </row>
    <row r="22" spans="1:9" ht="16" x14ac:dyDescent="0.2">
      <c r="A22" s="49" t="s">
        <v>95</v>
      </c>
      <c r="B22" s="49" t="s">
        <v>94</v>
      </c>
      <c r="C22" s="50" t="s">
        <v>35</v>
      </c>
      <c r="D22" s="50" t="s">
        <v>867</v>
      </c>
      <c r="E22" s="51" t="s">
        <v>868</v>
      </c>
      <c r="F22" s="52"/>
      <c r="G22" s="52" t="s">
        <v>114</v>
      </c>
      <c r="H22" s="52"/>
      <c r="I22" s="55" t="s">
        <v>910</v>
      </c>
    </row>
    <row r="23" spans="1:9" ht="16" x14ac:dyDescent="0.2">
      <c r="A23" s="49" t="s">
        <v>97</v>
      </c>
      <c r="B23" s="49" t="s">
        <v>96</v>
      </c>
      <c r="C23" s="50" t="s">
        <v>35</v>
      </c>
      <c r="D23" s="50" t="s">
        <v>867</v>
      </c>
      <c r="E23" s="51" t="s">
        <v>868</v>
      </c>
      <c r="F23" s="52" t="s">
        <v>37</v>
      </c>
      <c r="G23" s="52" t="s">
        <v>911</v>
      </c>
      <c r="H23" s="52" t="s">
        <v>37</v>
      </c>
      <c r="I23" s="55" t="s">
        <v>912</v>
      </c>
    </row>
    <row r="24" spans="1:9" ht="16" x14ac:dyDescent="0.2">
      <c r="A24" s="49" t="s">
        <v>99</v>
      </c>
      <c r="B24" s="49" t="s">
        <v>100</v>
      </c>
      <c r="C24" s="50" t="s">
        <v>35</v>
      </c>
      <c r="D24" s="50" t="s">
        <v>51</v>
      </c>
      <c r="E24" s="51" t="s">
        <v>879</v>
      </c>
      <c r="F24" s="50" t="s">
        <v>880</v>
      </c>
      <c r="G24" s="56" t="s">
        <v>913</v>
      </c>
      <c r="H24" s="50"/>
      <c r="I24" s="53" t="s">
        <v>914</v>
      </c>
    </row>
    <row r="25" spans="1:9" ht="16" x14ac:dyDescent="0.2">
      <c r="A25" s="49" t="s">
        <v>102</v>
      </c>
      <c r="B25" s="49" t="s">
        <v>101</v>
      </c>
      <c r="C25" s="50" t="s">
        <v>57</v>
      </c>
      <c r="D25" s="50" t="s">
        <v>867</v>
      </c>
      <c r="E25" s="51" t="s">
        <v>868</v>
      </c>
      <c r="F25" s="52" t="s">
        <v>37</v>
      </c>
      <c r="G25" s="52" t="s">
        <v>915</v>
      </c>
      <c r="H25" s="52" t="s">
        <v>37</v>
      </c>
      <c r="I25" s="55" t="s">
        <v>916</v>
      </c>
    </row>
    <row r="26" spans="1:9" ht="16" x14ac:dyDescent="0.2">
      <c r="A26" s="49" t="s">
        <v>104</v>
      </c>
      <c r="B26" s="49" t="s">
        <v>103</v>
      </c>
      <c r="C26" s="50" t="s">
        <v>35</v>
      </c>
      <c r="D26" s="50" t="s">
        <v>867</v>
      </c>
      <c r="E26" s="51" t="s">
        <v>868</v>
      </c>
      <c r="F26" s="52" t="s">
        <v>37</v>
      </c>
      <c r="G26" s="52" t="s">
        <v>917</v>
      </c>
      <c r="H26" s="52" t="s">
        <v>37</v>
      </c>
      <c r="I26" s="55" t="s">
        <v>918</v>
      </c>
    </row>
    <row r="27" spans="1:9" ht="16" x14ac:dyDescent="0.2">
      <c r="A27" s="49" t="s">
        <v>106</v>
      </c>
      <c r="B27" s="49" t="s">
        <v>107</v>
      </c>
      <c r="C27" s="50" t="s">
        <v>57</v>
      </c>
      <c r="D27" s="50" t="s">
        <v>867</v>
      </c>
      <c r="E27" s="51" t="s">
        <v>868</v>
      </c>
      <c r="F27" s="52" t="s">
        <v>37</v>
      </c>
      <c r="G27" s="52" t="s">
        <v>919</v>
      </c>
      <c r="H27" s="52" t="s">
        <v>37</v>
      </c>
      <c r="I27" s="55" t="s">
        <v>920</v>
      </c>
    </row>
    <row r="28" spans="1:9" ht="16" x14ac:dyDescent="0.2">
      <c r="A28" s="49" t="s">
        <v>109</v>
      </c>
      <c r="B28" s="49" t="s">
        <v>108</v>
      </c>
      <c r="C28" s="50" t="s">
        <v>35</v>
      </c>
      <c r="D28" s="50" t="s">
        <v>867</v>
      </c>
      <c r="E28" s="51" t="s">
        <v>868</v>
      </c>
      <c r="F28" s="52" t="s">
        <v>37</v>
      </c>
      <c r="G28" s="52" t="s">
        <v>921</v>
      </c>
      <c r="H28" s="52" t="s">
        <v>37</v>
      </c>
      <c r="I28" s="55" t="s">
        <v>922</v>
      </c>
    </row>
    <row r="29" spans="1:9" ht="32" x14ac:dyDescent="0.2">
      <c r="A29" s="49" t="s">
        <v>111</v>
      </c>
      <c r="B29" s="49" t="s">
        <v>110</v>
      </c>
      <c r="C29" s="50" t="s">
        <v>35</v>
      </c>
      <c r="D29" s="50" t="s">
        <v>867</v>
      </c>
      <c r="E29" s="51" t="s">
        <v>868</v>
      </c>
      <c r="F29" s="52"/>
      <c r="G29" s="52" t="s">
        <v>114</v>
      </c>
      <c r="H29" s="52"/>
      <c r="I29" s="55" t="s">
        <v>923</v>
      </c>
    </row>
    <row r="30" spans="1:9" ht="16" x14ac:dyDescent="0.2">
      <c r="A30" s="49" t="s">
        <v>113</v>
      </c>
      <c r="B30" s="49" t="s">
        <v>112</v>
      </c>
      <c r="C30" s="50" t="s">
        <v>35</v>
      </c>
      <c r="D30" s="50" t="s">
        <v>867</v>
      </c>
      <c r="E30" s="51" t="s">
        <v>868</v>
      </c>
      <c r="F30" s="52"/>
      <c r="G30" s="52" t="s">
        <v>114</v>
      </c>
      <c r="H30" s="52"/>
      <c r="I30" s="55" t="s">
        <v>924</v>
      </c>
    </row>
    <row r="31" spans="1:9" ht="16" x14ac:dyDescent="0.2">
      <c r="A31" s="49" t="s">
        <v>116</v>
      </c>
      <c r="B31" s="49" t="s">
        <v>115</v>
      </c>
      <c r="C31" s="50" t="s">
        <v>35</v>
      </c>
      <c r="D31" s="50" t="s">
        <v>867</v>
      </c>
      <c r="E31" s="51" t="s">
        <v>868</v>
      </c>
      <c r="F31" s="52" t="s">
        <v>37</v>
      </c>
      <c r="G31" s="52" t="s">
        <v>925</v>
      </c>
      <c r="H31" s="52" t="s">
        <v>37</v>
      </c>
      <c r="I31" s="55" t="s">
        <v>926</v>
      </c>
    </row>
    <row r="32" spans="1:9" ht="16" x14ac:dyDescent="0.2">
      <c r="A32" s="49" t="s">
        <v>118</v>
      </c>
      <c r="B32" s="49" t="s">
        <v>117</v>
      </c>
      <c r="C32" s="50" t="s">
        <v>35</v>
      </c>
      <c r="D32" s="50" t="s">
        <v>867</v>
      </c>
      <c r="E32" s="51" t="s">
        <v>868</v>
      </c>
      <c r="F32" s="52" t="s">
        <v>37</v>
      </c>
      <c r="G32" s="52" t="s">
        <v>927</v>
      </c>
      <c r="H32" s="52" t="s">
        <v>37</v>
      </c>
      <c r="I32" s="55" t="s">
        <v>928</v>
      </c>
    </row>
    <row r="33" spans="1:9" ht="16" x14ac:dyDescent="0.2">
      <c r="A33" s="49" t="s">
        <v>120</v>
      </c>
      <c r="B33" s="49" t="s">
        <v>119</v>
      </c>
      <c r="C33" s="50" t="s">
        <v>35</v>
      </c>
      <c r="D33" s="50" t="s">
        <v>867</v>
      </c>
      <c r="E33" s="51" t="s">
        <v>868</v>
      </c>
      <c r="F33" s="52" t="s">
        <v>37</v>
      </c>
      <c r="G33" s="52" t="s">
        <v>929</v>
      </c>
      <c r="H33" s="52" t="s">
        <v>37</v>
      </c>
      <c r="I33" s="55" t="s">
        <v>930</v>
      </c>
    </row>
    <row r="34" spans="1:9" ht="16" x14ac:dyDescent="0.2">
      <c r="A34" s="49" t="s">
        <v>122</v>
      </c>
      <c r="B34" s="49" t="s">
        <v>123</v>
      </c>
      <c r="C34" s="50" t="s">
        <v>905</v>
      </c>
      <c r="D34" s="50" t="s">
        <v>51</v>
      </c>
      <c r="E34" s="51" t="s">
        <v>879</v>
      </c>
      <c r="F34" t="s">
        <v>37</v>
      </c>
      <c r="G34" s="50" t="s">
        <v>931</v>
      </c>
      <c r="H34" s="50" t="s">
        <v>37</v>
      </c>
      <c r="I34" s="53" t="s">
        <v>932</v>
      </c>
    </row>
    <row r="35" spans="1:9" ht="16" x14ac:dyDescent="0.2">
      <c r="A35" s="49" t="s">
        <v>125</v>
      </c>
      <c r="B35" s="49" t="s">
        <v>124</v>
      </c>
      <c r="C35" s="50" t="s">
        <v>35</v>
      </c>
      <c r="D35" s="50" t="s">
        <v>867</v>
      </c>
      <c r="E35" s="51" t="s">
        <v>868</v>
      </c>
      <c r="F35" s="52" t="s">
        <v>37</v>
      </c>
      <c r="G35" s="52" t="s">
        <v>933</v>
      </c>
      <c r="H35" s="52" t="s">
        <v>37</v>
      </c>
      <c r="I35" s="55" t="s">
        <v>934</v>
      </c>
    </row>
    <row r="36" spans="1:9" ht="16" x14ac:dyDescent="0.2">
      <c r="A36" s="49" t="s">
        <v>127</v>
      </c>
      <c r="B36" s="49" t="s">
        <v>128</v>
      </c>
      <c r="C36" s="50" t="s">
        <v>905</v>
      </c>
      <c r="D36" s="50" t="s">
        <v>51</v>
      </c>
      <c r="E36" s="51" t="s">
        <v>879</v>
      </c>
      <c r="F36" t="s">
        <v>37</v>
      </c>
      <c r="G36" s="50" t="s">
        <v>935</v>
      </c>
      <c r="H36" s="50" t="s">
        <v>37</v>
      </c>
      <c r="I36" s="53" t="s">
        <v>936</v>
      </c>
    </row>
    <row r="37" spans="1:9" ht="16" x14ac:dyDescent="0.2">
      <c r="A37" s="49" t="s">
        <v>130</v>
      </c>
      <c r="B37" s="49" t="s">
        <v>129</v>
      </c>
      <c r="C37" s="50" t="s">
        <v>35</v>
      </c>
      <c r="D37" s="50" t="s">
        <v>867</v>
      </c>
      <c r="E37" s="51" t="s">
        <v>868</v>
      </c>
      <c r="F37" s="52" t="s">
        <v>37</v>
      </c>
      <c r="G37" s="52" t="s">
        <v>937</v>
      </c>
      <c r="H37" s="52" t="s">
        <v>37</v>
      </c>
      <c r="I37" s="55" t="s">
        <v>938</v>
      </c>
    </row>
    <row r="38" spans="1:9" ht="16" x14ac:dyDescent="0.2">
      <c r="A38" s="49" t="s">
        <v>132</v>
      </c>
      <c r="B38" s="49" t="s">
        <v>131</v>
      </c>
      <c r="C38" s="50" t="s">
        <v>35</v>
      </c>
      <c r="D38" s="50" t="s">
        <v>867</v>
      </c>
      <c r="E38" s="51" t="s">
        <v>868</v>
      </c>
      <c r="F38" s="52" t="s">
        <v>37</v>
      </c>
      <c r="G38" s="52" t="s">
        <v>939</v>
      </c>
      <c r="H38" s="52" t="s">
        <v>37</v>
      </c>
      <c r="I38" s="55" t="s">
        <v>940</v>
      </c>
    </row>
    <row r="39" spans="1:9" ht="32" x14ac:dyDescent="0.2">
      <c r="A39" s="49" t="s">
        <v>134</v>
      </c>
      <c r="B39" s="49" t="s">
        <v>135</v>
      </c>
      <c r="C39" s="50" t="s">
        <v>35</v>
      </c>
      <c r="D39" s="50" t="s">
        <v>867</v>
      </c>
      <c r="E39" s="51" t="s">
        <v>868</v>
      </c>
      <c r="F39" s="52" t="s">
        <v>37</v>
      </c>
      <c r="G39" s="52" t="s">
        <v>941</v>
      </c>
      <c r="H39" s="52" t="s">
        <v>37</v>
      </c>
      <c r="I39" s="55" t="s">
        <v>942</v>
      </c>
    </row>
    <row r="40" spans="1:9" ht="16" x14ac:dyDescent="0.2">
      <c r="A40" s="49" t="s">
        <v>137</v>
      </c>
      <c r="B40" s="49" t="s">
        <v>136</v>
      </c>
      <c r="C40" s="50" t="s">
        <v>35</v>
      </c>
      <c r="D40" s="50" t="s">
        <v>867</v>
      </c>
      <c r="E40" s="51" t="s">
        <v>868</v>
      </c>
      <c r="F40" s="52" t="s">
        <v>37</v>
      </c>
      <c r="G40" s="52" t="s">
        <v>943</v>
      </c>
      <c r="H40" s="52" t="s">
        <v>37</v>
      </c>
      <c r="I40" s="55" t="s">
        <v>944</v>
      </c>
    </row>
    <row r="41" spans="1:9" ht="16" x14ac:dyDescent="0.2">
      <c r="A41" s="49" t="s">
        <v>139</v>
      </c>
      <c r="B41" s="49" t="s">
        <v>138</v>
      </c>
      <c r="C41" s="50" t="s">
        <v>35</v>
      </c>
      <c r="D41" s="50" t="s">
        <v>867</v>
      </c>
      <c r="E41" s="51" t="s">
        <v>868</v>
      </c>
      <c r="F41" s="52" t="s">
        <v>37</v>
      </c>
      <c r="G41" s="52" t="s">
        <v>945</v>
      </c>
      <c r="H41" s="52" t="s">
        <v>37</v>
      </c>
      <c r="I41" s="55" t="s">
        <v>946</v>
      </c>
    </row>
    <row r="42" spans="1:9" ht="16" x14ac:dyDescent="0.2">
      <c r="A42" s="49" t="s">
        <v>141</v>
      </c>
      <c r="B42" s="49" t="s">
        <v>140</v>
      </c>
      <c r="C42" s="50" t="s">
        <v>35</v>
      </c>
      <c r="D42" s="50" t="s">
        <v>867</v>
      </c>
      <c r="E42" s="51" t="s">
        <v>868</v>
      </c>
      <c r="F42" s="52" t="s">
        <v>37</v>
      </c>
      <c r="G42" s="52" t="s">
        <v>947</v>
      </c>
      <c r="H42" s="52" t="s">
        <v>37</v>
      </c>
      <c r="I42" s="55" t="s">
        <v>948</v>
      </c>
    </row>
    <row r="43" spans="1:9" ht="16" x14ac:dyDescent="0.2">
      <c r="A43" s="49" t="s">
        <v>143</v>
      </c>
      <c r="B43" s="49" t="s">
        <v>144</v>
      </c>
      <c r="C43" s="50" t="s">
        <v>905</v>
      </c>
      <c r="D43" s="50" t="s">
        <v>51</v>
      </c>
      <c r="E43" s="51" t="s">
        <v>879</v>
      </c>
      <c r="F43" t="s">
        <v>37</v>
      </c>
      <c r="G43" s="50" t="s">
        <v>949</v>
      </c>
      <c r="H43" s="50" t="s">
        <v>37</v>
      </c>
      <c r="I43" s="53" t="s">
        <v>950</v>
      </c>
    </row>
    <row r="44" spans="1:9" ht="16" x14ac:dyDescent="0.2">
      <c r="A44" s="49" t="s">
        <v>146</v>
      </c>
      <c r="B44" s="49" t="s">
        <v>145</v>
      </c>
      <c r="C44" s="50" t="s">
        <v>35</v>
      </c>
      <c r="D44" s="50" t="s">
        <v>867</v>
      </c>
      <c r="E44" s="51" t="s">
        <v>868</v>
      </c>
      <c r="F44" s="52" t="s">
        <v>37</v>
      </c>
      <c r="G44" s="52" t="s">
        <v>951</v>
      </c>
      <c r="H44" s="52" t="s">
        <v>37</v>
      </c>
      <c r="I44" s="55" t="s">
        <v>952</v>
      </c>
    </row>
    <row r="45" spans="1:9" ht="16" x14ac:dyDescent="0.2">
      <c r="A45" s="49" t="s">
        <v>148</v>
      </c>
      <c r="B45" s="49" t="s">
        <v>149</v>
      </c>
      <c r="C45" s="50" t="s">
        <v>589</v>
      </c>
      <c r="D45" s="50" t="s">
        <v>51</v>
      </c>
      <c r="E45" s="51" t="s">
        <v>879</v>
      </c>
      <c r="F45" s="50" t="s">
        <v>883</v>
      </c>
      <c r="H45" s="50"/>
      <c r="I45" s="51" t="s">
        <v>953</v>
      </c>
    </row>
    <row r="46" spans="1:9" ht="16" x14ac:dyDescent="0.2">
      <c r="A46" s="49" t="s">
        <v>151</v>
      </c>
      <c r="B46" s="49" t="s">
        <v>150</v>
      </c>
      <c r="C46" s="50" t="s">
        <v>35</v>
      </c>
      <c r="D46" s="50" t="s">
        <v>867</v>
      </c>
      <c r="E46" s="51" t="s">
        <v>868</v>
      </c>
      <c r="G46" s="52" t="s">
        <v>954</v>
      </c>
      <c r="H46" s="52"/>
      <c r="I46" s="55" t="s">
        <v>955</v>
      </c>
    </row>
    <row r="47" spans="1:9" ht="16" x14ac:dyDescent="0.2">
      <c r="A47" s="49" t="s">
        <v>154</v>
      </c>
      <c r="B47" s="49" t="s">
        <v>155</v>
      </c>
      <c r="C47" s="50" t="s">
        <v>35</v>
      </c>
      <c r="D47" s="50" t="s">
        <v>867</v>
      </c>
      <c r="E47" s="51" t="s">
        <v>868</v>
      </c>
      <c r="F47" s="52" t="s">
        <v>37</v>
      </c>
      <c r="G47" s="52" t="s">
        <v>956</v>
      </c>
      <c r="H47" s="52" t="s">
        <v>37</v>
      </c>
      <c r="I47" s="55" t="s">
        <v>957</v>
      </c>
    </row>
    <row r="48" spans="1:9" ht="16" x14ac:dyDescent="0.2">
      <c r="A48" s="49" t="s">
        <v>157</v>
      </c>
      <c r="B48" s="49" t="s">
        <v>156</v>
      </c>
      <c r="C48" s="50" t="s">
        <v>57</v>
      </c>
      <c r="D48" s="50" t="s">
        <v>51</v>
      </c>
      <c r="E48" s="51" t="s">
        <v>879</v>
      </c>
      <c r="F48" s="50" t="s">
        <v>37</v>
      </c>
      <c r="G48" s="56" t="s">
        <v>958</v>
      </c>
      <c r="H48" s="50"/>
      <c r="I48" s="53" t="s">
        <v>959</v>
      </c>
    </row>
    <row r="49" spans="1:9" ht="16" x14ac:dyDescent="0.2">
      <c r="A49" s="49" t="s">
        <v>159</v>
      </c>
      <c r="B49" s="49" t="s">
        <v>160</v>
      </c>
      <c r="C49" s="50" t="s">
        <v>65</v>
      </c>
      <c r="D49" s="50" t="s">
        <v>51</v>
      </c>
      <c r="E49" s="51" t="s">
        <v>879</v>
      </c>
      <c r="F49" s="50" t="s">
        <v>883</v>
      </c>
      <c r="G49" s="50"/>
      <c r="H49" s="50"/>
      <c r="I49" s="51" t="s">
        <v>960</v>
      </c>
    </row>
    <row r="50" spans="1:9" ht="16" x14ac:dyDescent="0.2">
      <c r="A50" s="49" t="s">
        <v>162</v>
      </c>
      <c r="B50" s="49" t="s">
        <v>163</v>
      </c>
      <c r="C50" s="50" t="s">
        <v>57</v>
      </c>
      <c r="D50" s="50" t="s">
        <v>867</v>
      </c>
      <c r="E50" s="51" t="s">
        <v>868</v>
      </c>
      <c r="F50" s="52" t="s">
        <v>37</v>
      </c>
      <c r="G50" s="52" t="s">
        <v>961</v>
      </c>
      <c r="H50" s="52" t="s">
        <v>37</v>
      </c>
      <c r="I50" s="55" t="s">
        <v>962</v>
      </c>
    </row>
    <row r="51" spans="1:9" ht="16" x14ac:dyDescent="0.2">
      <c r="A51" s="49" t="s">
        <v>165</v>
      </c>
      <c r="B51" s="49" t="s">
        <v>164</v>
      </c>
      <c r="C51" s="50" t="s">
        <v>35</v>
      </c>
      <c r="D51" s="50" t="s">
        <v>867</v>
      </c>
      <c r="E51" s="51" t="s">
        <v>868</v>
      </c>
      <c r="F51" s="52" t="s">
        <v>37</v>
      </c>
      <c r="G51" s="52" t="s">
        <v>963</v>
      </c>
      <c r="H51" s="52" t="s">
        <v>37</v>
      </c>
      <c r="I51" s="55" t="s">
        <v>964</v>
      </c>
    </row>
    <row r="52" spans="1:9" ht="16" x14ac:dyDescent="0.2">
      <c r="A52" s="49" t="s">
        <v>167</v>
      </c>
      <c r="B52" s="49" t="s">
        <v>168</v>
      </c>
      <c r="C52" s="50" t="s">
        <v>57</v>
      </c>
      <c r="D52" s="50" t="s">
        <v>867</v>
      </c>
      <c r="E52" s="51" t="s">
        <v>868</v>
      </c>
      <c r="F52" s="52" t="s">
        <v>37</v>
      </c>
      <c r="G52" s="52" t="s">
        <v>965</v>
      </c>
      <c r="H52" s="52" t="s">
        <v>37</v>
      </c>
      <c r="I52" s="55" t="s">
        <v>966</v>
      </c>
    </row>
    <row r="53" spans="1:9" ht="16" x14ac:dyDescent="0.2">
      <c r="A53" s="49" t="s">
        <v>170</v>
      </c>
      <c r="B53" s="49" t="s">
        <v>171</v>
      </c>
      <c r="C53" s="50" t="s">
        <v>905</v>
      </c>
      <c r="D53" s="50" t="s">
        <v>51</v>
      </c>
      <c r="E53" s="51" t="s">
        <v>879</v>
      </c>
      <c r="F53" s="50" t="s">
        <v>37</v>
      </c>
      <c r="G53" t="s">
        <v>967</v>
      </c>
      <c r="H53" s="50" t="s">
        <v>37</v>
      </c>
      <c r="I53" s="54" t="s">
        <v>968</v>
      </c>
    </row>
    <row r="54" spans="1:9" ht="32" x14ac:dyDescent="0.2">
      <c r="A54" s="49" t="s">
        <v>173</v>
      </c>
      <c r="B54" s="49" t="s">
        <v>174</v>
      </c>
      <c r="C54" s="50" t="s">
        <v>35</v>
      </c>
      <c r="D54" s="50" t="s">
        <v>867</v>
      </c>
      <c r="E54" s="51" t="s">
        <v>868</v>
      </c>
      <c r="F54" t="s">
        <v>880</v>
      </c>
      <c r="G54" s="52" t="s">
        <v>969</v>
      </c>
      <c r="H54" s="52"/>
      <c r="I54" s="55" t="s">
        <v>970</v>
      </c>
    </row>
    <row r="55" spans="1:9" ht="16" x14ac:dyDescent="0.2">
      <c r="A55" s="49" t="s">
        <v>176</v>
      </c>
      <c r="B55" s="49" t="s">
        <v>175</v>
      </c>
      <c r="C55" s="50" t="s">
        <v>35</v>
      </c>
      <c r="D55" s="50" t="s">
        <v>867</v>
      </c>
      <c r="E55" s="51" t="s">
        <v>868</v>
      </c>
      <c r="F55" s="52" t="s">
        <v>37</v>
      </c>
      <c r="G55" s="52" t="s">
        <v>971</v>
      </c>
      <c r="H55" s="52" t="s">
        <v>37</v>
      </c>
      <c r="I55" s="55" t="s">
        <v>972</v>
      </c>
    </row>
    <row r="56" spans="1:9" ht="16" x14ac:dyDescent="0.2">
      <c r="A56" s="49" t="s">
        <v>178</v>
      </c>
      <c r="B56" s="49" t="s">
        <v>177</v>
      </c>
      <c r="C56" s="50" t="s">
        <v>35</v>
      </c>
      <c r="D56" s="50" t="s">
        <v>867</v>
      </c>
      <c r="E56" s="51" t="s">
        <v>868</v>
      </c>
      <c r="F56" s="52" t="s">
        <v>37</v>
      </c>
      <c r="G56" s="52" t="s">
        <v>973</v>
      </c>
      <c r="H56" s="52" t="s">
        <v>37</v>
      </c>
      <c r="I56" s="55" t="s">
        <v>974</v>
      </c>
    </row>
    <row r="57" spans="1:9" ht="16" x14ac:dyDescent="0.2">
      <c r="A57" s="49" t="s">
        <v>180</v>
      </c>
      <c r="B57" s="49" t="s">
        <v>181</v>
      </c>
      <c r="C57" s="50" t="s">
        <v>35</v>
      </c>
      <c r="D57" s="50" t="s">
        <v>867</v>
      </c>
      <c r="E57" s="51" t="s">
        <v>868</v>
      </c>
      <c r="F57" s="52" t="s">
        <v>37</v>
      </c>
      <c r="G57" s="52" t="s">
        <v>975</v>
      </c>
      <c r="H57" s="52" t="s">
        <v>37</v>
      </c>
      <c r="I57" s="55" t="s">
        <v>976</v>
      </c>
    </row>
    <row r="58" spans="1:9" ht="16" x14ac:dyDescent="0.2">
      <c r="A58" s="49" t="s">
        <v>183</v>
      </c>
      <c r="B58" s="49" t="s">
        <v>182</v>
      </c>
      <c r="C58" s="50" t="s">
        <v>35</v>
      </c>
      <c r="D58" s="50" t="s">
        <v>867</v>
      </c>
      <c r="E58" s="51" t="s">
        <v>868</v>
      </c>
      <c r="F58" t="s">
        <v>880</v>
      </c>
      <c r="G58" s="57" t="s">
        <v>114</v>
      </c>
      <c r="H58" s="52"/>
      <c r="I58" s="55" t="s">
        <v>977</v>
      </c>
    </row>
    <row r="59" spans="1:9" ht="16" x14ac:dyDescent="0.2">
      <c r="A59" s="49" t="s">
        <v>185</v>
      </c>
      <c r="B59" s="49" t="s">
        <v>184</v>
      </c>
      <c r="C59" s="50" t="s">
        <v>35</v>
      </c>
      <c r="D59" s="50" t="s">
        <v>867</v>
      </c>
      <c r="E59" s="51" t="s">
        <v>868</v>
      </c>
      <c r="F59" s="52" t="s">
        <v>37</v>
      </c>
      <c r="G59" s="52" t="s">
        <v>978</v>
      </c>
      <c r="H59" s="52" t="s">
        <v>37</v>
      </c>
      <c r="I59" s="55" t="s">
        <v>979</v>
      </c>
    </row>
    <row r="60" spans="1:9" ht="16" x14ac:dyDescent="0.2">
      <c r="A60" s="49" t="s">
        <v>187</v>
      </c>
      <c r="B60" s="49" t="s">
        <v>186</v>
      </c>
      <c r="C60" s="50" t="s">
        <v>35</v>
      </c>
      <c r="D60" s="50" t="s">
        <v>867</v>
      </c>
      <c r="E60" s="51" t="s">
        <v>868</v>
      </c>
      <c r="F60" s="52" t="s">
        <v>37</v>
      </c>
      <c r="G60" s="52" t="s">
        <v>980</v>
      </c>
      <c r="H60" s="52" t="s">
        <v>37</v>
      </c>
      <c r="I60" s="55" t="s">
        <v>981</v>
      </c>
    </row>
    <row r="61" spans="1:9" ht="16" x14ac:dyDescent="0.2">
      <c r="A61" s="49" t="s">
        <v>189</v>
      </c>
      <c r="B61" s="49" t="s">
        <v>188</v>
      </c>
      <c r="C61" s="50" t="s">
        <v>35</v>
      </c>
      <c r="D61" s="50" t="s">
        <v>51</v>
      </c>
      <c r="E61" s="51" t="s">
        <v>879</v>
      </c>
      <c r="F61" s="50" t="s">
        <v>880</v>
      </c>
      <c r="G61" s="56" t="s">
        <v>982</v>
      </c>
      <c r="H61" s="50"/>
      <c r="I61" s="53" t="s">
        <v>983</v>
      </c>
    </row>
    <row r="62" spans="1:9" ht="16" x14ac:dyDescent="0.2">
      <c r="A62" s="49" t="s">
        <v>191</v>
      </c>
      <c r="B62" s="49" t="s">
        <v>192</v>
      </c>
      <c r="C62" s="50" t="s">
        <v>57</v>
      </c>
      <c r="D62" s="50" t="s">
        <v>51</v>
      </c>
      <c r="E62" s="51" t="s">
        <v>879</v>
      </c>
      <c r="F62" s="50" t="s">
        <v>37</v>
      </c>
      <c r="G62" s="58" t="s">
        <v>984</v>
      </c>
      <c r="H62" s="50"/>
      <c r="I62" s="53" t="s">
        <v>985</v>
      </c>
    </row>
    <row r="63" spans="1:9" ht="16" x14ac:dyDescent="0.2">
      <c r="A63" s="49" t="s">
        <v>194</v>
      </c>
      <c r="B63" s="49" t="s">
        <v>195</v>
      </c>
      <c r="C63" s="50" t="s">
        <v>65</v>
      </c>
      <c r="D63" s="50" t="s">
        <v>51</v>
      </c>
      <c r="E63" s="51" t="s">
        <v>879</v>
      </c>
      <c r="F63" s="50" t="s">
        <v>883</v>
      </c>
      <c r="G63" s="52"/>
      <c r="H63" s="50"/>
      <c r="I63" s="51" t="s">
        <v>960</v>
      </c>
    </row>
    <row r="64" spans="1:9" ht="16" x14ac:dyDescent="0.2">
      <c r="A64" s="49" t="s">
        <v>197</v>
      </c>
      <c r="B64" s="49" t="s">
        <v>196</v>
      </c>
      <c r="C64" s="50" t="s">
        <v>65</v>
      </c>
      <c r="D64" s="50" t="s">
        <v>36</v>
      </c>
      <c r="E64" s="51" t="s">
        <v>986</v>
      </c>
      <c r="G64" s="52" t="s">
        <v>114</v>
      </c>
      <c r="H64" s="52"/>
      <c r="I64" s="55" t="s">
        <v>987</v>
      </c>
    </row>
    <row r="65" spans="1:9" ht="16" x14ac:dyDescent="0.2">
      <c r="A65" s="49" t="s">
        <v>199</v>
      </c>
      <c r="B65" s="49" t="s">
        <v>198</v>
      </c>
      <c r="C65" s="50" t="s">
        <v>65</v>
      </c>
      <c r="D65" s="50" t="s">
        <v>36</v>
      </c>
      <c r="E65" s="51" t="s">
        <v>986</v>
      </c>
      <c r="G65" s="52" t="s">
        <v>114</v>
      </c>
      <c r="H65" s="52"/>
      <c r="I65" s="55" t="s">
        <v>988</v>
      </c>
    </row>
    <row r="66" spans="1:9" ht="16" x14ac:dyDescent="0.2">
      <c r="A66" s="49" t="s">
        <v>201</v>
      </c>
      <c r="B66" s="49" t="s">
        <v>202</v>
      </c>
      <c r="C66" s="50" t="s">
        <v>905</v>
      </c>
      <c r="D66" s="50" t="s">
        <v>51</v>
      </c>
      <c r="E66" s="51" t="s">
        <v>879</v>
      </c>
      <c r="F66" s="50" t="s">
        <v>37</v>
      </c>
      <c r="G66" t="s">
        <v>989</v>
      </c>
      <c r="H66" s="50" t="s">
        <v>37</v>
      </c>
      <c r="I66" s="53" t="s">
        <v>990</v>
      </c>
    </row>
    <row r="67" spans="1:9" ht="16" x14ac:dyDescent="0.2">
      <c r="A67" s="49" t="s">
        <v>204</v>
      </c>
      <c r="B67" s="49" t="s">
        <v>205</v>
      </c>
      <c r="C67" s="50" t="s">
        <v>65</v>
      </c>
      <c r="D67" s="50" t="s">
        <v>36</v>
      </c>
      <c r="E67" s="51" t="s">
        <v>986</v>
      </c>
      <c r="F67" s="52" t="s">
        <v>37</v>
      </c>
      <c r="G67" s="52" t="s">
        <v>991</v>
      </c>
      <c r="H67" s="52" t="s">
        <v>37</v>
      </c>
      <c r="I67" s="55" t="s">
        <v>992</v>
      </c>
    </row>
    <row r="68" spans="1:9" ht="16" x14ac:dyDescent="0.2">
      <c r="A68" s="49" t="s">
        <v>207</v>
      </c>
      <c r="B68" s="49" t="s">
        <v>208</v>
      </c>
      <c r="C68" s="50" t="s">
        <v>905</v>
      </c>
      <c r="D68" s="50" t="s">
        <v>51</v>
      </c>
      <c r="E68" s="51" t="s">
        <v>879</v>
      </c>
      <c r="F68" s="50" t="s">
        <v>37</v>
      </c>
      <c r="G68" t="s">
        <v>993</v>
      </c>
      <c r="H68" s="50" t="s">
        <v>37</v>
      </c>
      <c r="I68" s="54" t="s">
        <v>994</v>
      </c>
    </row>
    <row r="69" spans="1:9" ht="16" x14ac:dyDescent="0.2">
      <c r="A69" s="49" t="s">
        <v>210</v>
      </c>
      <c r="B69" s="49" t="s">
        <v>209</v>
      </c>
      <c r="C69" s="50" t="s">
        <v>65</v>
      </c>
      <c r="D69" s="50" t="s">
        <v>36</v>
      </c>
      <c r="E69" s="51" t="s">
        <v>986</v>
      </c>
      <c r="F69" s="52" t="s">
        <v>37</v>
      </c>
      <c r="G69" s="52" t="s">
        <v>995</v>
      </c>
      <c r="H69" s="52" t="s">
        <v>37</v>
      </c>
      <c r="I69" s="55" t="s">
        <v>996</v>
      </c>
    </row>
    <row r="70" spans="1:9" ht="16" x14ac:dyDescent="0.2">
      <c r="A70" s="49" t="s">
        <v>212</v>
      </c>
      <c r="B70" s="49" t="s">
        <v>213</v>
      </c>
      <c r="C70" s="50" t="s">
        <v>65</v>
      </c>
      <c r="D70" s="50" t="s">
        <v>36</v>
      </c>
      <c r="E70" s="51" t="s">
        <v>986</v>
      </c>
      <c r="F70" s="52" t="s">
        <v>37</v>
      </c>
      <c r="G70" s="52" t="s">
        <v>997</v>
      </c>
      <c r="H70" s="52" t="s">
        <v>37</v>
      </c>
      <c r="I70" s="55" t="s">
        <v>998</v>
      </c>
    </row>
    <row r="71" spans="1:9" ht="16" x14ac:dyDescent="0.2">
      <c r="A71" s="49" t="s">
        <v>215</v>
      </c>
      <c r="B71" s="49" t="s">
        <v>216</v>
      </c>
      <c r="C71" s="50" t="s">
        <v>57</v>
      </c>
      <c r="D71" s="50" t="s">
        <v>51</v>
      </c>
      <c r="E71" s="51" t="s">
        <v>879</v>
      </c>
      <c r="F71" s="50" t="s">
        <v>37</v>
      </c>
      <c r="G71" s="56" t="s">
        <v>999</v>
      </c>
      <c r="H71" s="50"/>
      <c r="I71" s="53" t="s">
        <v>1000</v>
      </c>
    </row>
    <row r="72" spans="1:9" ht="16" x14ac:dyDescent="0.2">
      <c r="A72" s="49" t="s">
        <v>218</v>
      </c>
      <c r="B72" s="49" t="s">
        <v>217</v>
      </c>
      <c r="C72" s="50" t="s">
        <v>65</v>
      </c>
      <c r="D72" s="50" t="s">
        <v>36</v>
      </c>
      <c r="E72" s="51" t="s">
        <v>986</v>
      </c>
      <c r="F72" s="52" t="s">
        <v>37</v>
      </c>
      <c r="G72" s="52" t="s">
        <v>1001</v>
      </c>
      <c r="H72" s="52" t="s">
        <v>37</v>
      </c>
      <c r="I72" s="55" t="s">
        <v>1002</v>
      </c>
    </row>
    <row r="73" spans="1:9" ht="16" x14ac:dyDescent="0.2">
      <c r="A73" s="49" t="s">
        <v>220</v>
      </c>
      <c r="B73" s="49" t="s">
        <v>221</v>
      </c>
      <c r="C73" s="50" t="s">
        <v>57</v>
      </c>
      <c r="D73" s="50" t="s">
        <v>867</v>
      </c>
      <c r="E73" s="51" t="s">
        <v>868</v>
      </c>
      <c r="F73" s="52" t="s">
        <v>37</v>
      </c>
      <c r="G73" s="52" t="s">
        <v>1003</v>
      </c>
      <c r="H73" s="52" t="s">
        <v>37</v>
      </c>
      <c r="I73" s="55" t="s">
        <v>1004</v>
      </c>
    </row>
    <row r="74" spans="1:9" ht="16" x14ac:dyDescent="0.2">
      <c r="A74" s="49" t="s">
        <v>223</v>
      </c>
      <c r="B74" s="49" t="s">
        <v>224</v>
      </c>
      <c r="C74" s="50" t="s">
        <v>65</v>
      </c>
      <c r="D74" s="50" t="s">
        <v>51</v>
      </c>
      <c r="E74" s="51" t="s">
        <v>879</v>
      </c>
      <c r="F74" s="50" t="s">
        <v>880</v>
      </c>
      <c r="G74" s="56" t="s">
        <v>1005</v>
      </c>
      <c r="H74" s="50"/>
      <c r="I74" s="53" t="s">
        <v>1006</v>
      </c>
    </row>
    <row r="75" spans="1:9" ht="16" x14ac:dyDescent="0.2">
      <c r="A75" s="49" t="s">
        <v>226</v>
      </c>
      <c r="B75" s="49" t="s">
        <v>227</v>
      </c>
      <c r="C75" s="50" t="s">
        <v>905</v>
      </c>
      <c r="D75" s="50" t="s">
        <v>51</v>
      </c>
      <c r="E75" s="51" t="s">
        <v>879</v>
      </c>
      <c r="F75" s="50" t="s">
        <v>37</v>
      </c>
      <c r="G75" s="52" t="s">
        <v>1007</v>
      </c>
      <c r="H75" s="50" t="s">
        <v>37</v>
      </c>
      <c r="I75" s="53" t="s">
        <v>1008</v>
      </c>
    </row>
    <row r="76" spans="1:9" ht="16" x14ac:dyDescent="0.2">
      <c r="A76" s="49" t="s">
        <v>229</v>
      </c>
      <c r="B76" s="49" t="s">
        <v>230</v>
      </c>
      <c r="C76" s="50" t="s">
        <v>57</v>
      </c>
      <c r="D76" s="50" t="s">
        <v>51</v>
      </c>
      <c r="E76" s="51" t="s">
        <v>879</v>
      </c>
      <c r="F76" s="50" t="s">
        <v>37</v>
      </c>
      <c r="G76" s="56" t="s">
        <v>1009</v>
      </c>
      <c r="H76" s="50"/>
      <c r="I76" s="53" t="s">
        <v>1010</v>
      </c>
    </row>
    <row r="77" spans="1:9" ht="16" x14ac:dyDescent="0.2">
      <c r="A77" s="49" t="s">
        <v>232</v>
      </c>
      <c r="B77" s="49" t="s">
        <v>231</v>
      </c>
      <c r="C77" s="50" t="s">
        <v>57</v>
      </c>
      <c r="D77" s="50" t="s">
        <v>51</v>
      </c>
      <c r="E77" s="51" t="s">
        <v>879</v>
      </c>
      <c r="F77" s="50" t="s">
        <v>880</v>
      </c>
      <c r="G77" s="58" t="s">
        <v>1011</v>
      </c>
      <c r="H77" s="50"/>
      <c r="I77" s="51" t="s">
        <v>1012</v>
      </c>
    </row>
    <row r="78" spans="1:9" ht="16" x14ac:dyDescent="0.2">
      <c r="A78" s="49" t="s">
        <v>234</v>
      </c>
      <c r="B78" s="49" t="s">
        <v>235</v>
      </c>
      <c r="C78" s="50" t="s">
        <v>65</v>
      </c>
      <c r="D78" s="50" t="s">
        <v>36</v>
      </c>
      <c r="E78" s="51" t="s">
        <v>986</v>
      </c>
      <c r="F78" s="52" t="s">
        <v>37</v>
      </c>
      <c r="G78" s="52" t="s">
        <v>1013</v>
      </c>
      <c r="H78" s="52" t="s">
        <v>37</v>
      </c>
      <c r="I78" s="55" t="s">
        <v>1014</v>
      </c>
    </row>
    <row r="79" spans="1:9" ht="16" x14ac:dyDescent="0.2">
      <c r="A79" s="49" t="s">
        <v>237</v>
      </c>
      <c r="B79" s="49" t="s">
        <v>238</v>
      </c>
      <c r="C79" s="50" t="s">
        <v>65</v>
      </c>
      <c r="D79" s="50" t="s">
        <v>36</v>
      </c>
      <c r="E79" s="51" t="s">
        <v>986</v>
      </c>
      <c r="F79" s="52" t="s">
        <v>37</v>
      </c>
      <c r="G79" s="52" t="s">
        <v>1015</v>
      </c>
      <c r="H79" s="52" t="s">
        <v>37</v>
      </c>
      <c r="I79" s="55" t="s">
        <v>1016</v>
      </c>
    </row>
    <row r="80" spans="1:9" ht="16" x14ac:dyDescent="0.2">
      <c r="A80" s="49" t="s">
        <v>240</v>
      </c>
      <c r="B80" s="49" t="s">
        <v>241</v>
      </c>
      <c r="C80" s="50" t="s">
        <v>65</v>
      </c>
      <c r="D80" s="50" t="s">
        <v>36</v>
      </c>
      <c r="E80" s="51" t="s">
        <v>986</v>
      </c>
      <c r="F80" s="52" t="s">
        <v>37</v>
      </c>
      <c r="G80" s="52" t="s">
        <v>1017</v>
      </c>
      <c r="H80" s="52" t="s">
        <v>37</v>
      </c>
      <c r="I80" s="55" t="s">
        <v>1018</v>
      </c>
    </row>
    <row r="81" spans="1:9" ht="16" x14ac:dyDescent="0.2">
      <c r="A81" s="49" t="s">
        <v>243</v>
      </c>
      <c r="B81" s="49" t="s">
        <v>242</v>
      </c>
      <c r="C81" s="50" t="s">
        <v>65</v>
      </c>
      <c r="D81" s="50" t="s">
        <v>36</v>
      </c>
      <c r="E81" s="51" t="s">
        <v>986</v>
      </c>
      <c r="F81" s="52" t="s">
        <v>37</v>
      </c>
      <c r="G81" s="52" t="s">
        <v>1019</v>
      </c>
      <c r="H81" s="52" t="s">
        <v>37</v>
      </c>
      <c r="I81" s="55" t="s">
        <v>1020</v>
      </c>
    </row>
    <row r="82" spans="1:9" ht="16" x14ac:dyDescent="0.2">
      <c r="A82" s="49" t="s">
        <v>245</v>
      </c>
      <c r="B82" s="49" t="s">
        <v>246</v>
      </c>
      <c r="C82" s="50" t="s">
        <v>57</v>
      </c>
      <c r="D82" s="50" t="s">
        <v>867</v>
      </c>
      <c r="E82" s="51" t="s">
        <v>868</v>
      </c>
      <c r="F82" s="52" t="s">
        <v>37</v>
      </c>
      <c r="G82" s="52" t="s">
        <v>1021</v>
      </c>
      <c r="H82" s="52" t="s">
        <v>37</v>
      </c>
      <c r="I82" s="55" t="s">
        <v>1022</v>
      </c>
    </row>
    <row r="83" spans="1:9" ht="16" x14ac:dyDescent="0.2">
      <c r="A83" s="49" t="s">
        <v>248</v>
      </c>
      <c r="B83" s="49" t="s">
        <v>249</v>
      </c>
      <c r="C83" s="50" t="s">
        <v>57</v>
      </c>
      <c r="D83" s="50" t="s">
        <v>867</v>
      </c>
      <c r="E83" s="51" t="s">
        <v>868</v>
      </c>
      <c r="F83" s="52" t="s">
        <v>37</v>
      </c>
      <c r="G83" s="52" t="s">
        <v>1023</v>
      </c>
      <c r="H83" s="52" t="s">
        <v>37</v>
      </c>
      <c r="I83" s="55" t="s">
        <v>1024</v>
      </c>
    </row>
    <row r="84" spans="1:9" ht="16" x14ac:dyDescent="0.2">
      <c r="A84" s="49" t="s">
        <v>251</v>
      </c>
      <c r="B84" s="49" t="s">
        <v>250</v>
      </c>
      <c r="C84" s="50" t="s">
        <v>65</v>
      </c>
      <c r="D84" s="50" t="s">
        <v>36</v>
      </c>
      <c r="E84" s="51" t="s">
        <v>986</v>
      </c>
      <c r="F84" s="52" t="s">
        <v>37</v>
      </c>
      <c r="G84" s="52" t="s">
        <v>1025</v>
      </c>
      <c r="H84" s="52" t="s">
        <v>37</v>
      </c>
      <c r="I84" s="55" t="s">
        <v>1026</v>
      </c>
    </row>
    <row r="85" spans="1:9" ht="16" x14ac:dyDescent="0.2">
      <c r="A85" s="49" t="s">
        <v>253</v>
      </c>
      <c r="B85" s="49" t="s">
        <v>252</v>
      </c>
      <c r="C85" s="50" t="s">
        <v>35</v>
      </c>
      <c r="D85" s="50" t="s">
        <v>867</v>
      </c>
      <c r="E85" s="51" t="s">
        <v>868</v>
      </c>
      <c r="F85" s="52" t="s">
        <v>37</v>
      </c>
      <c r="G85" s="52" t="s">
        <v>1027</v>
      </c>
      <c r="H85" s="52" t="s">
        <v>37</v>
      </c>
      <c r="I85" s="55" t="s">
        <v>1028</v>
      </c>
    </row>
    <row r="86" spans="1:9" ht="16" x14ac:dyDescent="0.2">
      <c r="A86" s="49" t="s">
        <v>255</v>
      </c>
      <c r="B86" s="49" t="s">
        <v>256</v>
      </c>
      <c r="C86" s="50" t="s">
        <v>65</v>
      </c>
      <c r="D86" s="50" t="s">
        <v>51</v>
      </c>
      <c r="E86" s="51" t="s">
        <v>879</v>
      </c>
      <c r="F86" s="50" t="s">
        <v>880</v>
      </c>
      <c r="G86" s="56" t="s">
        <v>1029</v>
      </c>
      <c r="H86" s="50"/>
      <c r="I86" s="53" t="s">
        <v>1030</v>
      </c>
    </row>
    <row r="87" spans="1:9" ht="16" x14ac:dyDescent="0.2">
      <c r="A87" s="49" t="s">
        <v>259</v>
      </c>
      <c r="B87" s="49" t="s">
        <v>260</v>
      </c>
      <c r="C87" s="50" t="s">
        <v>905</v>
      </c>
      <c r="D87" s="50" t="s">
        <v>51</v>
      </c>
      <c r="E87" s="51" t="s">
        <v>879</v>
      </c>
      <c r="F87" s="50" t="s">
        <v>37</v>
      </c>
      <c r="G87" s="52" t="s">
        <v>1031</v>
      </c>
      <c r="H87" s="50" t="s">
        <v>37</v>
      </c>
      <c r="I87" s="53" t="s">
        <v>1032</v>
      </c>
    </row>
    <row r="88" spans="1:9" ht="16" x14ac:dyDescent="0.2">
      <c r="A88" s="49" t="s">
        <v>262</v>
      </c>
      <c r="B88" s="49" t="s">
        <v>263</v>
      </c>
      <c r="C88" s="50" t="s">
        <v>57</v>
      </c>
      <c r="D88" s="50" t="s">
        <v>51</v>
      </c>
      <c r="E88" s="51" t="s">
        <v>879</v>
      </c>
      <c r="F88" s="50" t="s">
        <v>37</v>
      </c>
      <c r="G88" s="56" t="s">
        <v>1033</v>
      </c>
      <c r="H88" s="50"/>
      <c r="I88" s="53" t="s">
        <v>1034</v>
      </c>
    </row>
    <row r="89" spans="1:9" ht="16" x14ac:dyDescent="0.2">
      <c r="A89" s="49" t="s">
        <v>265</v>
      </c>
      <c r="B89" s="49" t="s">
        <v>266</v>
      </c>
      <c r="C89" s="50" t="s">
        <v>57</v>
      </c>
      <c r="D89" s="50" t="s">
        <v>51</v>
      </c>
      <c r="E89" s="51" t="s">
        <v>879</v>
      </c>
      <c r="F89" s="50" t="s">
        <v>37</v>
      </c>
      <c r="G89" s="58" t="s">
        <v>1035</v>
      </c>
      <c r="H89" s="50"/>
      <c r="I89" s="53" t="s">
        <v>1036</v>
      </c>
    </row>
    <row r="90" spans="1:9" ht="48" x14ac:dyDescent="0.2">
      <c r="A90" s="49" t="s">
        <v>268</v>
      </c>
      <c r="B90" s="49" t="s">
        <v>269</v>
      </c>
      <c r="C90" s="50" t="s">
        <v>65</v>
      </c>
      <c r="D90" s="50" t="s">
        <v>51</v>
      </c>
      <c r="E90" s="51" t="s">
        <v>879</v>
      </c>
      <c r="F90" s="50" t="s">
        <v>880</v>
      </c>
      <c r="G90" s="58" t="s">
        <v>1037</v>
      </c>
      <c r="H90" s="50"/>
      <c r="I90" s="53" t="s">
        <v>1038</v>
      </c>
    </row>
    <row r="91" spans="1:9" ht="16" x14ac:dyDescent="0.2">
      <c r="A91" s="49" t="s">
        <v>271</v>
      </c>
      <c r="B91" s="49" t="s">
        <v>270</v>
      </c>
      <c r="C91" s="50" t="s">
        <v>905</v>
      </c>
      <c r="D91" s="50" t="s">
        <v>51</v>
      </c>
      <c r="E91" s="51" t="s">
        <v>879</v>
      </c>
      <c r="F91" s="50" t="s">
        <v>37</v>
      </c>
      <c r="G91" s="52" t="s">
        <v>1039</v>
      </c>
      <c r="H91" s="50" t="s">
        <v>37</v>
      </c>
      <c r="I91" s="53" t="s">
        <v>1040</v>
      </c>
    </row>
    <row r="92" spans="1:9" ht="16" x14ac:dyDescent="0.2">
      <c r="A92" s="49" t="s">
        <v>273</v>
      </c>
      <c r="B92" s="49" t="s">
        <v>274</v>
      </c>
      <c r="C92" s="50" t="s">
        <v>65</v>
      </c>
      <c r="D92" s="50" t="s">
        <v>36</v>
      </c>
      <c r="E92" s="51" t="s">
        <v>986</v>
      </c>
      <c r="F92" s="52" t="s">
        <v>37</v>
      </c>
      <c r="G92" s="52" t="s">
        <v>1041</v>
      </c>
      <c r="H92" s="52" t="s">
        <v>37</v>
      </c>
      <c r="I92" s="55" t="s">
        <v>1042</v>
      </c>
    </row>
    <row r="93" spans="1:9" ht="16" x14ac:dyDescent="0.2">
      <c r="A93" s="49" t="s">
        <v>276</v>
      </c>
      <c r="B93" s="49" t="s">
        <v>277</v>
      </c>
      <c r="C93" s="50" t="s">
        <v>57</v>
      </c>
      <c r="D93" s="50" t="s">
        <v>51</v>
      </c>
      <c r="E93" s="51" t="s">
        <v>879</v>
      </c>
      <c r="F93" s="50" t="s">
        <v>37</v>
      </c>
      <c r="G93" s="56" t="s">
        <v>1043</v>
      </c>
      <c r="H93" s="50"/>
      <c r="I93" s="53" t="s">
        <v>1044</v>
      </c>
    </row>
    <row r="94" spans="1:9" ht="16" x14ac:dyDescent="0.2">
      <c r="A94" s="49" t="s">
        <v>279</v>
      </c>
      <c r="B94" s="49" t="s">
        <v>278</v>
      </c>
      <c r="C94" s="50" t="s">
        <v>65</v>
      </c>
      <c r="D94" s="50" t="s">
        <v>36</v>
      </c>
      <c r="E94" s="51" t="s">
        <v>986</v>
      </c>
      <c r="F94" s="52" t="s">
        <v>37</v>
      </c>
      <c r="G94" s="52" t="s">
        <v>1045</v>
      </c>
      <c r="H94" s="52" t="s">
        <v>37</v>
      </c>
      <c r="I94" s="55" t="s">
        <v>1046</v>
      </c>
    </row>
    <row r="95" spans="1:9" ht="16" x14ac:dyDescent="0.2">
      <c r="A95" s="49" t="s">
        <v>281</v>
      </c>
      <c r="B95" s="49" t="s">
        <v>280</v>
      </c>
      <c r="C95" s="50" t="s">
        <v>65</v>
      </c>
      <c r="D95" s="50" t="s">
        <v>36</v>
      </c>
      <c r="E95" s="51" t="s">
        <v>986</v>
      </c>
      <c r="F95" s="52" t="s">
        <v>37</v>
      </c>
      <c r="G95" s="52" t="s">
        <v>1047</v>
      </c>
      <c r="H95" s="52" t="s">
        <v>37</v>
      </c>
      <c r="I95" s="55" t="s">
        <v>1048</v>
      </c>
    </row>
    <row r="96" spans="1:9" ht="16" x14ac:dyDescent="0.2">
      <c r="A96" s="49" t="s">
        <v>283</v>
      </c>
      <c r="B96" s="49" t="s">
        <v>282</v>
      </c>
      <c r="C96" s="50" t="s">
        <v>65</v>
      </c>
      <c r="D96" s="50" t="s">
        <v>36</v>
      </c>
      <c r="E96" s="51" t="s">
        <v>986</v>
      </c>
      <c r="F96" s="52" t="s">
        <v>37</v>
      </c>
      <c r="G96" s="52" t="s">
        <v>1049</v>
      </c>
      <c r="H96" s="52" t="s">
        <v>37</v>
      </c>
      <c r="I96" s="55" t="s">
        <v>1050</v>
      </c>
    </row>
    <row r="97" spans="1:10" ht="16" x14ac:dyDescent="0.2">
      <c r="A97" s="49" t="s">
        <v>285</v>
      </c>
      <c r="B97" s="49" t="s">
        <v>284</v>
      </c>
      <c r="C97" s="50" t="s">
        <v>65</v>
      </c>
      <c r="D97" s="50" t="s">
        <v>36</v>
      </c>
      <c r="E97" s="51" t="s">
        <v>986</v>
      </c>
      <c r="F97" s="52" t="s">
        <v>37</v>
      </c>
      <c r="G97" s="52" t="s">
        <v>1051</v>
      </c>
      <c r="H97" s="52" t="s">
        <v>37</v>
      </c>
      <c r="I97" s="55" t="s">
        <v>1052</v>
      </c>
    </row>
    <row r="98" spans="1:10" ht="16" x14ac:dyDescent="0.2">
      <c r="A98" s="49" t="s">
        <v>287</v>
      </c>
      <c r="B98" s="49" t="s">
        <v>288</v>
      </c>
      <c r="C98" s="50" t="s">
        <v>57</v>
      </c>
      <c r="D98" s="50" t="s">
        <v>51</v>
      </c>
      <c r="E98" s="51" t="s">
        <v>879</v>
      </c>
      <c r="F98" s="50" t="s">
        <v>37</v>
      </c>
      <c r="G98" s="56" t="s">
        <v>1053</v>
      </c>
      <c r="H98" s="50"/>
      <c r="I98" s="53" t="s">
        <v>1054</v>
      </c>
    </row>
    <row r="99" spans="1:10" ht="32" x14ac:dyDescent="0.2">
      <c r="A99" s="49" t="s">
        <v>290</v>
      </c>
      <c r="B99" s="49" t="s">
        <v>289</v>
      </c>
      <c r="C99" s="50" t="s">
        <v>65</v>
      </c>
      <c r="D99" s="50" t="s">
        <v>51</v>
      </c>
      <c r="E99" s="51" t="s">
        <v>879</v>
      </c>
      <c r="F99" s="50" t="s">
        <v>880</v>
      </c>
      <c r="G99" s="58" t="s">
        <v>1011</v>
      </c>
      <c r="H99" s="50"/>
      <c r="I99" s="53" t="s">
        <v>1055</v>
      </c>
      <c r="J99" t="s">
        <v>1056</v>
      </c>
    </row>
    <row r="100" spans="1:10" ht="16" x14ac:dyDescent="0.2">
      <c r="A100" s="49" t="s">
        <v>292</v>
      </c>
      <c r="B100" s="49" t="s">
        <v>293</v>
      </c>
      <c r="C100" s="50" t="s">
        <v>905</v>
      </c>
      <c r="D100" s="50" t="s">
        <v>51</v>
      </c>
      <c r="E100" s="51" t="s">
        <v>879</v>
      </c>
      <c r="F100" s="50" t="s">
        <v>37</v>
      </c>
      <c r="G100" s="58" t="s">
        <v>1057</v>
      </c>
      <c r="H100" s="50" t="s">
        <v>37</v>
      </c>
      <c r="I100" s="53" t="s">
        <v>1058</v>
      </c>
    </row>
    <row r="101" spans="1:10" ht="16" x14ac:dyDescent="0.2">
      <c r="A101" s="49" t="s">
        <v>295</v>
      </c>
      <c r="B101" s="49" t="s">
        <v>294</v>
      </c>
      <c r="C101" s="50" t="s">
        <v>65</v>
      </c>
      <c r="D101" s="50" t="s">
        <v>36</v>
      </c>
      <c r="E101" s="51" t="s">
        <v>986</v>
      </c>
      <c r="F101" s="52" t="s">
        <v>37</v>
      </c>
      <c r="G101" s="52" t="s">
        <v>1059</v>
      </c>
      <c r="H101" s="52" t="s">
        <v>37</v>
      </c>
      <c r="I101" s="55" t="s">
        <v>1060</v>
      </c>
    </row>
    <row r="102" spans="1:10" ht="16" x14ac:dyDescent="0.2">
      <c r="A102" s="49" t="s">
        <v>297</v>
      </c>
      <c r="B102" s="49" t="s">
        <v>296</v>
      </c>
      <c r="C102" s="50" t="s">
        <v>65</v>
      </c>
      <c r="D102" s="50" t="s">
        <v>36</v>
      </c>
      <c r="E102" s="51" t="s">
        <v>986</v>
      </c>
      <c r="F102" s="52" t="s">
        <v>37</v>
      </c>
      <c r="G102" s="52" t="s">
        <v>1061</v>
      </c>
      <c r="H102" s="52" t="s">
        <v>37</v>
      </c>
      <c r="I102" s="55" t="s">
        <v>1062</v>
      </c>
    </row>
    <row r="103" spans="1:10" ht="16" x14ac:dyDescent="0.2">
      <c r="A103" s="49" t="s">
        <v>299</v>
      </c>
      <c r="B103" s="49" t="s">
        <v>298</v>
      </c>
      <c r="C103" s="50" t="s">
        <v>65</v>
      </c>
      <c r="D103" s="50" t="s">
        <v>36</v>
      </c>
      <c r="E103" s="51" t="s">
        <v>986</v>
      </c>
      <c r="F103" s="52" t="s">
        <v>37</v>
      </c>
      <c r="G103" s="52" t="s">
        <v>1063</v>
      </c>
      <c r="H103" s="52" t="s">
        <v>37</v>
      </c>
      <c r="I103" s="55" t="s">
        <v>1064</v>
      </c>
    </row>
    <row r="104" spans="1:10" ht="16" x14ac:dyDescent="0.2">
      <c r="A104" s="49" t="s">
        <v>301</v>
      </c>
      <c r="B104" s="49" t="s">
        <v>302</v>
      </c>
      <c r="C104" s="50" t="s">
        <v>57</v>
      </c>
      <c r="D104" s="50" t="s">
        <v>51</v>
      </c>
      <c r="E104" s="51" t="s">
        <v>879</v>
      </c>
      <c r="F104" s="50" t="s">
        <v>37</v>
      </c>
      <c r="G104" s="56" t="s">
        <v>1065</v>
      </c>
      <c r="H104" s="50"/>
      <c r="I104" s="53" t="s">
        <v>1066</v>
      </c>
    </row>
    <row r="105" spans="1:10" ht="16" x14ac:dyDescent="0.2">
      <c r="A105" s="49" t="s">
        <v>304</v>
      </c>
      <c r="B105" s="49" t="s">
        <v>305</v>
      </c>
      <c r="C105" s="50" t="s">
        <v>57</v>
      </c>
      <c r="D105" s="50" t="s">
        <v>867</v>
      </c>
      <c r="E105" s="51" t="s">
        <v>868</v>
      </c>
      <c r="F105" s="52" t="s">
        <v>37</v>
      </c>
      <c r="G105" s="52" t="s">
        <v>1067</v>
      </c>
      <c r="H105" s="52" t="s">
        <v>37</v>
      </c>
      <c r="I105" s="55" t="s">
        <v>1068</v>
      </c>
    </row>
    <row r="106" spans="1:10" ht="32" x14ac:dyDescent="0.2">
      <c r="A106" s="49" t="s">
        <v>307</v>
      </c>
      <c r="B106" s="49" t="s">
        <v>308</v>
      </c>
      <c r="C106" s="50" t="s">
        <v>65</v>
      </c>
      <c r="D106" s="50" t="s">
        <v>36</v>
      </c>
      <c r="E106" s="51" t="s">
        <v>986</v>
      </c>
      <c r="G106" s="52" t="s">
        <v>1069</v>
      </c>
      <c r="H106" s="52"/>
      <c r="I106" s="55" t="s">
        <v>1070</v>
      </c>
    </row>
    <row r="107" spans="1:10" ht="16" x14ac:dyDescent="0.2">
      <c r="A107" s="49" t="s">
        <v>311</v>
      </c>
      <c r="B107" s="49" t="s">
        <v>312</v>
      </c>
      <c r="C107" s="50" t="s">
        <v>57</v>
      </c>
      <c r="D107" s="50" t="s">
        <v>51</v>
      </c>
      <c r="E107" s="51" t="s">
        <v>879</v>
      </c>
      <c r="F107" s="50" t="s">
        <v>37</v>
      </c>
      <c r="G107" s="56" t="s">
        <v>1071</v>
      </c>
      <c r="H107" s="50"/>
      <c r="I107" s="53" t="s">
        <v>1072</v>
      </c>
    </row>
    <row r="108" spans="1:10" ht="16" x14ac:dyDescent="0.2">
      <c r="A108" s="49" t="s">
        <v>314</v>
      </c>
      <c r="B108" s="49" t="s">
        <v>315</v>
      </c>
      <c r="C108" s="50" t="s">
        <v>65</v>
      </c>
      <c r="D108" s="50" t="s">
        <v>51</v>
      </c>
      <c r="E108" s="51" t="s">
        <v>879</v>
      </c>
      <c r="F108" s="50" t="s">
        <v>880</v>
      </c>
      <c r="G108" s="58" t="s">
        <v>1073</v>
      </c>
      <c r="H108" s="50"/>
      <c r="I108" s="53" t="s">
        <v>1074</v>
      </c>
    </row>
    <row r="109" spans="1:10" ht="16" x14ac:dyDescent="0.2">
      <c r="A109" s="49" t="s">
        <v>317</v>
      </c>
      <c r="B109" s="49" t="s">
        <v>316</v>
      </c>
      <c r="C109" s="50" t="s">
        <v>905</v>
      </c>
      <c r="D109" s="50" t="s">
        <v>51</v>
      </c>
      <c r="E109" s="51" t="s">
        <v>879</v>
      </c>
      <c r="F109" s="50"/>
      <c r="G109" s="59" t="s">
        <v>66</v>
      </c>
      <c r="H109" s="50"/>
      <c r="I109" s="51" t="s">
        <v>66</v>
      </c>
    </row>
    <row r="110" spans="1:10" ht="16" x14ac:dyDescent="0.2">
      <c r="A110" s="49" t="s">
        <v>319</v>
      </c>
      <c r="B110" s="49" t="s">
        <v>320</v>
      </c>
      <c r="C110" s="50" t="s">
        <v>65</v>
      </c>
      <c r="D110" s="50" t="s">
        <v>36</v>
      </c>
      <c r="E110" s="51" t="s">
        <v>986</v>
      </c>
      <c r="F110" s="52" t="s">
        <v>37</v>
      </c>
      <c r="G110" s="52" t="s">
        <v>1075</v>
      </c>
      <c r="H110" s="52" t="s">
        <v>37</v>
      </c>
      <c r="I110" s="55" t="s">
        <v>1076</v>
      </c>
    </row>
    <row r="111" spans="1:10" ht="16" x14ac:dyDescent="0.2">
      <c r="A111" s="49" t="s">
        <v>322</v>
      </c>
      <c r="B111" s="49" t="s">
        <v>323</v>
      </c>
      <c r="C111" s="50" t="s">
        <v>65</v>
      </c>
      <c r="D111" s="50" t="s">
        <v>36</v>
      </c>
      <c r="E111" s="51" t="s">
        <v>986</v>
      </c>
      <c r="F111" s="52" t="s">
        <v>37</v>
      </c>
      <c r="G111" s="52" t="s">
        <v>1077</v>
      </c>
      <c r="H111" s="52" t="s">
        <v>37</v>
      </c>
      <c r="I111" s="55" t="s">
        <v>1078</v>
      </c>
    </row>
    <row r="112" spans="1:10" ht="16" x14ac:dyDescent="0.2">
      <c r="A112" s="49" t="s">
        <v>325</v>
      </c>
      <c r="B112" s="49" t="s">
        <v>326</v>
      </c>
      <c r="C112" s="50" t="s">
        <v>65</v>
      </c>
      <c r="D112" s="50" t="s">
        <v>36</v>
      </c>
      <c r="E112" s="51" t="s">
        <v>986</v>
      </c>
      <c r="F112" s="52" t="s">
        <v>37</v>
      </c>
      <c r="G112" s="52" t="s">
        <v>1079</v>
      </c>
      <c r="H112" s="52" t="s">
        <v>37</v>
      </c>
      <c r="I112" s="55" t="s">
        <v>1080</v>
      </c>
    </row>
    <row r="113" spans="1:9" ht="16" x14ac:dyDescent="0.2">
      <c r="A113" s="49" t="s">
        <v>328</v>
      </c>
      <c r="B113" s="49" t="s">
        <v>327</v>
      </c>
      <c r="C113" s="50" t="s">
        <v>65</v>
      </c>
      <c r="D113" s="50" t="s">
        <v>36</v>
      </c>
      <c r="E113" s="51" t="s">
        <v>986</v>
      </c>
      <c r="F113" s="52" t="s">
        <v>37</v>
      </c>
      <c r="G113" s="52" t="s">
        <v>1081</v>
      </c>
      <c r="H113" s="52" t="s">
        <v>37</v>
      </c>
      <c r="I113" s="55" t="s">
        <v>1082</v>
      </c>
    </row>
    <row r="114" spans="1:9" ht="16" x14ac:dyDescent="0.2">
      <c r="A114" s="49" t="s">
        <v>330</v>
      </c>
      <c r="B114" s="49" t="s">
        <v>331</v>
      </c>
      <c r="C114" s="50" t="s">
        <v>1083</v>
      </c>
      <c r="D114" s="50" t="s">
        <v>37</v>
      </c>
      <c r="E114" s="51" t="s">
        <v>879</v>
      </c>
      <c r="G114" s="56" t="s">
        <v>1084</v>
      </c>
      <c r="H114" s="50"/>
      <c r="I114" s="53" t="s">
        <v>1085</v>
      </c>
    </row>
    <row r="115" spans="1:9" ht="16" x14ac:dyDescent="0.2">
      <c r="A115" s="49" t="s">
        <v>333</v>
      </c>
      <c r="B115" s="49" t="s">
        <v>334</v>
      </c>
      <c r="C115" s="50" t="s">
        <v>57</v>
      </c>
      <c r="D115" s="50" t="s">
        <v>51</v>
      </c>
      <c r="E115" s="51" t="s">
        <v>879</v>
      </c>
      <c r="F115" s="50" t="s">
        <v>37</v>
      </c>
      <c r="G115" s="58" t="s">
        <v>1086</v>
      </c>
      <c r="H115" s="50"/>
      <c r="I115" s="53" t="s">
        <v>1087</v>
      </c>
    </row>
    <row r="116" spans="1:9" ht="16" x14ac:dyDescent="0.2">
      <c r="A116" s="49" t="s">
        <v>336</v>
      </c>
      <c r="B116" s="49" t="s">
        <v>337</v>
      </c>
      <c r="C116" s="50" t="s">
        <v>65</v>
      </c>
      <c r="D116" s="50" t="s">
        <v>36</v>
      </c>
      <c r="E116" s="51" t="s">
        <v>986</v>
      </c>
      <c r="F116" s="52" t="s">
        <v>37</v>
      </c>
      <c r="G116" s="52" t="s">
        <v>1088</v>
      </c>
      <c r="H116" s="52" t="s">
        <v>37</v>
      </c>
      <c r="I116" s="55" t="s">
        <v>1089</v>
      </c>
    </row>
    <row r="117" spans="1:9" ht="16" x14ac:dyDescent="0.2">
      <c r="A117" s="49" t="s">
        <v>339</v>
      </c>
      <c r="B117" s="49" t="s">
        <v>338</v>
      </c>
      <c r="C117" s="50" t="s">
        <v>65</v>
      </c>
      <c r="D117" s="50" t="s">
        <v>36</v>
      </c>
      <c r="E117" s="51" t="s">
        <v>986</v>
      </c>
      <c r="F117" s="52" t="s">
        <v>37</v>
      </c>
      <c r="G117" s="52" t="s">
        <v>1090</v>
      </c>
      <c r="H117" s="52" t="s">
        <v>37</v>
      </c>
      <c r="I117" s="55" t="s">
        <v>1091</v>
      </c>
    </row>
    <row r="118" spans="1:9" ht="16" x14ac:dyDescent="0.2">
      <c r="A118" s="49" t="s">
        <v>341</v>
      </c>
      <c r="B118" s="49" t="s">
        <v>340</v>
      </c>
      <c r="C118" s="50" t="s">
        <v>65</v>
      </c>
      <c r="D118" s="50" t="s">
        <v>51</v>
      </c>
      <c r="E118" s="51" t="s">
        <v>879</v>
      </c>
      <c r="F118" s="50" t="s">
        <v>880</v>
      </c>
      <c r="G118" s="56" t="s">
        <v>1092</v>
      </c>
      <c r="H118" s="50"/>
      <c r="I118" s="53" t="s">
        <v>1093</v>
      </c>
    </row>
    <row r="119" spans="1:9" ht="16" x14ac:dyDescent="0.2">
      <c r="A119" s="49" t="s">
        <v>343</v>
      </c>
      <c r="B119" s="49" t="s">
        <v>344</v>
      </c>
      <c r="C119" s="50" t="s">
        <v>905</v>
      </c>
      <c r="D119" s="50" t="s">
        <v>51</v>
      </c>
      <c r="E119" s="51" t="s">
        <v>879</v>
      </c>
      <c r="F119" s="50" t="s">
        <v>37</v>
      </c>
      <c r="G119" s="58" t="s">
        <v>1094</v>
      </c>
      <c r="H119" s="50" t="s">
        <v>37</v>
      </c>
      <c r="I119" s="53" t="s">
        <v>1095</v>
      </c>
    </row>
    <row r="120" spans="1:9" ht="16" x14ac:dyDescent="0.2">
      <c r="A120" s="49" t="s">
        <v>347</v>
      </c>
      <c r="B120" s="49" t="s">
        <v>348</v>
      </c>
      <c r="C120" s="50" t="s">
        <v>57</v>
      </c>
      <c r="D120" s="50" t="s">
        <v>51</v>
      </c>
      <c r="E120" s="51" t="s">
        <v>879</v>
      </c>
      <c r="F120" s="50" t="s">
        <v>37</v>
      </c>
      <c r="G120" s="58" t="s">
        <v>1096</v>
      </c>
      <c r="H120" s="50"/>
      <c r="I120" s="53" t="s">
        <v>1097</v>
      </c>
    </row>
    <row r="121" spans="1:9" ht="16" x14ac:dyDescent="0.2">
      <c r="A121" s="49" t="s">
        <v>350</v>
      </c>
      <c r="B121" s="49" t="s">
        <v>349</v>
      </c>
      <c r="C121" s="50" t="s">
        <v>65</v>
      </c>
      <c r="D121" s="50" t="s">
        <v>36</v>
      </c>
      <c r="E121" s="51" t="s">
        <v>986</v>
      </c>
      <c r="F121" s="52" t="s">
        <v>37</v>
      </c>
      <c r="G121" s="52" t="s">
        <v>1098</v>
      </c>
      <c r="H121" s="52" t="s">
        <v>37</v>
      </c>
      <c r="I121" s="55" t="s">
        <v>1099</v>
      </c>
    </row>
    <row r="122" spans="1:9" ht="16" x14ac:dyDescent="0.2">
      <c r="A122" s="49" t="s">
        <v>352</v>
      </c>
      <c r="B122" s="49" t="s">
        <v>351</v>
      </c>
      <c r="C122" s="50" t="s">
        <v>65</v>
      </c>
      <c r="D122" s="50" t="s">
        <v>36</v>
      </c>
      <c r="E122" s="51" t="s">
        <v>986</v>
      </c>
      <c r="F122" s="52" t="s">
        <v>37</v>
      </c>
      <c r="G122" s="52" t="s">
        <v>1100</v>
      </c>
      <c r="H122" s="52" t="s">
        <v>37</v>
      </c>
      <c r="I122" s="55" t="s">
        <v>1101</v>
      </c>
    </row>
    <row r="123" spans="1:9" ht="16" x14ac:dyDescent="0.2">
      <c r="A123" s="49" t="s">
        <v>354</v>
      </c>
      <c r="B123" s="49" t="s">
        <v>355</v>
      </c>
      <c r="C123" s="50" t="s">
        <v>65</v>
      </c>
      <c r="D123" s="50" t="s">
        <v>36</v>
      </c>
      <c r="E123" s="51" t="s">
        <v>986</v>
      </c>
      <c r="F123" s="52" t="s">
        <v>37</v>
      </c>
      <c r="G123" s="52" t="s">
        <v>1102</v>
      </c>
      <c r="H123" s="52" t="s">
        <v>37</v>
      </c>
      <c r="I123" s="55" t="s">
        <v>1103</v>
      </c>
    </row>
    <row r="124" spans="1:9" ht="16" x14ac:dyDescent="0.2">
      <c r="A124" s="49" t="s">
        <v>357</v>
      </c>
      <c r="B124" s="49" t="s">
        <v>356</v>
      </c>
      <c r="C124" s="50" t="s">
        <v>65</v>
      </c>
      <c r="D124" s="50" t="s">
        <v>36</v>
      </c>
      <c r="E124" s="51" t="s">
        <v>986</v>
      </c>
      <c r="G124" s="57" t="s">
        <v>114</v>
      </c>
      <c r="H124" s="52"/>
      <c r="I124" s="55" t="s">
        <v>1104</v>
      </c>
    </row>
    <row r="125" spans="1:9" ht="16" x14ac:dyDescent="0.2">
      <c r="A125" s="49" t="s">
        <v>360</v>
      </c>
      <c r="B125" s="49" t="s">
        <v>361</v>
      </c>
      <c r="C125" s="50" t="s">
        <v>65</v>
      </c>
      <c r="D125" s="50" t="s">
        <v>36</v>
      </c>
      <c r="E125" s="51" t="s">
        <v>986</v>
      </c>
      <c r="G125" s="60" t="s">
        <v>954</v>
      </c>
      <c r="H125" s="52"/>
      <c r="I125" s="55" t="s">
        <v>1105</v>
      </c>
    </row>
    <row r="126" spans="1:9" ht="16" x14ac:dyDescent="0.2">
      <c r="A126" s="49" t="s">
        <v>363</v>
      </c>
      <c r="B126" s="49" t="s">
        <v>364</v>
      </c>
      <c r="C126" s="50" t="s">
        <v>65</v>
      </c>
      <c r="D126" s="50" t="s">
        <v>36</v>
      </c>
      <c r="E126" s="51" t="s">
        <v>986</v>
      </c>
      <c r="F126" s="52" t="s">
        <v>37</v>
      </c>
      <c r="G126" s="52" t="s">
        <v>1106</v>
      </c>
      <c r="H126" s="52" t="s">
        <v>37</v>
      </c>
      <c r="I126" s="55" t="s">
        <v>1107</v>
      </c>
    </row>
    <row r="127" spans="1:9" ht="16" x14ac:dyDescent="0.2">
      <c r="A127" s="49" t="s">
        <v>366</v>
      </c>
      <c r="B127" s="49" t="s">
        <v>365</v>
      </c>
      <c r="C127" s="50" t="s">
        <v>57</v>
      </c>
      <c r="D127" s="50" t="s">
        <v>51</v>
      </c>
      <c r="E127" s="51" t="s">
        <v>879</v>
      </c>
      <c r="F127" s="50" t="s">
        <v>880</v>
      </c>
      <c r="G127" s="56" t="s">
        <v>1011</v>
      </c>
      <c r="H127" s="50"/>
      <c r="I127" s="51" t="s">
        <v>66</v>
      </c>
    </row>
    <row r="128" spans="1:9" ht="16" x14ac:dyDescent="0.2">
      <c r="A128" s="49" t="s">
        <v>368</v>
      </c>
      <c r="B128" s="49" t="s">
        <v>367</v>
      </c>
      <c r="C128" s="50" t="s">
        <v>65</v>
      </c>
      <c r="D128" s="50" t="s">
        <v>36</v>
      </c>
      <c r="E128" s="51" t="s">
        <v>986</v>
      </c>
      <c r="F128" s="52" t="s">
        <v>37</v>
      </c>
      <c r="G128" s="52" t="s">
        <v>1108</v>
      </c>
      <c r="H128" s="52" t="s">
        <v>37</v>
      </c>
      <c r="I128" s="55" t="s">
        <v>1109</v>
      </c>
    </row>
    <row r="129" spans="1:10" ht="16" x14ac:dyDescent="0.2">
      <c r="A129" s="49" t="s">
        <v>370</v>
      </c>
      <c r="B129" s="49" t="s">
        <v>371</v>
      </c>
      <c r="C129" s="50" t="s">
        <v>65</v>
      </c>
      <c r="D129" s="50" t="s">
        <v>36</v>
      </c>
      <c r="E129" s="51" t="s">
        <v>986</v>
      </c>
      <c r="G129" s="57" t="s">
        <v>1110</v>
      </c>
      <c r="H129" s="52"/>
      <c r="I129" s="55" t="s">
        <v>1111</v>
      </c>
    </row>
    <row r="130" spans="1:10" ht="16" x14ac:dyDescent="0.2">
      <c r="A130" s="49" t="s">
        <v>373</v>
      </c>
      <c r="B130" s="49" t="s">
        <v>374</v>
      </c>
      <c r="C130" s="50" t="s">
        <v>65</v>
      </c>
      <c r="D130" s="50" t="s">
        <v>36</v>
      </c>
      <c r="E130" s="51" t="s">
        <v>986</v>
      </c>
      <c r="F130" s="52" t="s">
        <v>37</v>
      </c>
      <c r="G130" s="52" t="s">
        <v>1112</v>
      </c>
      <c r="H130" s="52" t="s">
        <v>37</v>
      </c>
      <c r="I130" s="55" t="s">
        <v>1113</v>
      </c>
    </row>
    <row r="131" spans="1:10" ht="16" x14ac:dyDescent="0.2">
      <c r="A131" s="49" t="s">
        <v>376</v>
      </c>
      <c r="B131" s="49" t="s">
        <v>377</v>
      </c>
      <c r="C131" s="50" t="s">
        <v>65</v>
      </c>
      <c r="D131" s="50" t="s">
        <v>51</v>
      </c>
      <c r="E131" s="51" t="s">
        <v>879</v>
      </c>
      <c r="F131" s="50" t="s">
        <v>880</v>
      </c>
      <c r="G131" s="56" t="s">
        <v>1114</v>
      </c>
      <c r="H131" s="50"/>
      <c r="I131" s="53" t="s">
        <v>1115</v>
      </c>
    </row>
    <row r="132" spans="1:10" ht="16" x14ac:dyDescent="0.2">
      <c r="A132" s="49" t="s">
        <v>379</v>
      </c>
      <c r="B132" s="49" t="s">
        <v>380</v>
      </c>
      <c r="C132" s="50" t="s">
        <v>65</v>
      </c>
      <c r="D132" s="50" t="s">
        <v>36</v>
      </c>
      <c r="E132" s="51" t="s">
        <v>986</v>
      </c>
      <c r="F132" s="52" t="s">
        <v>37</v>
      </c>
      <c r="G132" s="52" t="s">
        <v>1116</v>
      </c>
      <c r="H132" s="52" t="s">
        <v>37</v>
      </c>
      <c r="I132" s="55" t="s">
        <v>1117</v>
      </c>
    </row>
    <row r="133" spans="1:10" ht="16" x14ac:dyDescent="0.2">
      <c r="A133" s="49" t="s">
        <v>382</v>
      </c>
      <c r="B133" s="49" t="s">
        <v>381</v>
      </c>
      <c r="C133" s="50" t="s">
        <v>65</v>
      </c>
      <c r="D133" s="50" t="s">
        <v>36</v>
      </c>
      <c r="E133" s="51" t="s">
        <v>986</v>
      </c>
      <c r="F133" s="52"/>
      <c r="G133" s="57" t="s">
        <v>114</v>
      </c>
      <c r="H133" s="52"/>
      <c r="I133" s="55" t="s">
        <v>1118</v>
      </c>
    </row>
    <row r="134" spans="1:10" ht="16" x14ac:dyDescent="0.2">
      <c r="A134" s="49" t="s">
        <v>384</v>
      </c>
      <c r="B134" s="49" t="s">
        <v>383</v>
      </c>
      <c r="C134" s="50" t="s">
        <v>905</v>
      </c>
      <c r="D134" s="50" t="s">
        <v>51</v>
      </c>
      <c r="E134" s="51" t="s">
        <v>879</v>
      </c>
      <c r="F134" s="50"/>
      <c r="G134" s="59" t="s">
        <v>66</v>
      </c>
      <c r="H134" s="50"/>
      <c r="I134" s="51" t="s">
        <v>66</v>
      </c>
    </row>
    <row r="135" spans="1:10" ht="16" x14ac:dyDescent="0.2">
      <c r="A135" s="49" t="s">
        <v>386</v>
      </c>
      <c r="B135" s="49" t="s">
        <v>387</v>
      </c>
      <c r="C135" s="50" t="s">
        <v>57</v>
      </c>
      <c r="D135" s="50" t="s">
        <v>51</v>
      </c>
      <c r="E135" s="51" t="s">
        <v>879</v>
      </c>
      <c r="F135" s="50" t="s">
        <v>37</v>
      </c>
      <c r="G135" s="56" t="s">
        <v>1119</v>
      </c>
      <c r="H135" s="50"/>
      <c r="I135" s="51"/>
    </row>
    <row r="136" spans="1:10" ht="16" x14ac:dyDescent="0.2">
      <c r="A136" s="49" t="s">
        <v>389</v>
      </c>
      <c r="B136" s="49" t="s">
        <v>388</v>
      </c>
      <c r="C136" s="50" t="s">
        <v>57</v>
      </c>
      <c r="D136" s="50" t="s">
        <v>51</v>
      </c>
      <c r="E136" s="51" t="s">
        <v>879</v>
      </c>
      <c r="F136" s="50" t="s">
        <v>37</v>
      </c>
      <c r="G136" s="58" t="s">
        <v>1120</v>
      </c>
      <c r="H136" s="50"/>
      <c r="I136" s="53" t="s">
        <v>1121</v>
      </c>
    </row>
    <row r="137" spans="1:10" ht="16" x14ac:dyDescent="0.2">
      <c r="A137" s="49" t="s">
        <v>391</v>
      </c>
      <c r="B137" s="49" t="s">
        <v>392</v>
      </c>
      <c r="C137" s="50" t="s">
        <v>65</v>
      </c>
      <c r="D137" s="50" t="s">
        <v>51</v>
      </c>
      <c r="E137" s="51" t="s">
        <v>879</v>
      </c>
      <c r="F137" s="50" t="s">
        <v>880</v>
      </c>
      <c r="G137" s="58" t="s">
        <v>1122</v>
      </c>
      <c r="H137" s="50"/>
      <c r="I137" s="53" t="s">
        <v>1123</v>
      </c>
    </row>
    <row r="138" spans="1:10" ht="16" x14ac:dyDescent="0.2">
      <c r="A138" s="49" t="s">
        <v>394</v>
      </c>
      <c r="B138" s="49" t="s">
        <v>393</v>
      </c>
      <c r="C138" s="50" t="s">
        <v>65</v>
      </c>
      <c r="D138" s="50" t="s">
        <v>36</v>
      </c>
      <c r="E138" s="51" t="s">
        <v>986</v>
      </c>
      <c r="F138" s="52" t="s">
        <v>37</v>
      </c>
      <c r="G138" s="52" t="s">
        <v>1124</v>
      </c>
      <c r="H138" s="52" t="s">
        <v>37</v>
      </c>
      <c r="I138" s="55" t="s">
        <v>1125</v>
      </c>
    </row>
    <row r="139" spans="1:10" ht="16" x14ac:dyDescent="0.2">
      <c r="A139" s="49" t="s">
        <v>396</v>
      </c>
      <c r="B139" s="49" t="s">
        <v>395</v>
      </c>
      <c r="C139" s="50" t="s">
        <v>905</v>
      </c>
      <c r="D139" s="50" t="s">
        <v>51</v>
      </c>
      <c r="E139" s="51" t="s">
        <v>879</v>
      </c>
      <c r="F139" s="50" t="s">
        <v>37</v>
      </c>
      <c r="G139" s="52" t="s">
        <v>1126</v>
      </c>
      <c r="H139" s="50" t="s">
        <v>37</v>
      </c>
      <c r="I139" s="53" t="s">
        <v>1127</v>
      </c>
    </row>
    <row r="140" spans="1:10" ht="16" x14ac:dyDescent="0.2">
      <c r="A140" s="49" t="s">
        <v>398</v>
      </c>
      <c r="B140" s="49" t="s">
        <v>397</v>
      </c>
      <c r="C140" s="50" t="s">
        <v>65</v>
      </c>
      <c r="D140" s="50" t="s">
        <v>36</v>
      </c>
      <c r="E140" s="51" t="s">
        <v>986</v>
      </c>
      <c r="F140" s="52"/>
      <c r="G140" s="57" t="s">
        <v>114</v>
      </c>
      <c r="H140" s="52"/>
      <c r="I140" s="55" t="s">
        <v>1128</v>
      </c>
    </row>
    <row r="141" spans="1:10" ht="16" x14ac:dyDescent="0.2">
      <c r="A141" s="49" t="s">
        <v>400</v>
      </c>
      <c r="B141" s="49" t="s">
        <v>399</v>
      </c>
      <c r="C141" s="50" t="s">
        <v>57</v>
      </c>
      <c r="D141" s="50" t="s">
        <v>51</v>
      </c>
      <c r="E141" s="51" t="s">
        <v>879</v>
      </c>
      <c r="F141" s="50" t="s">
        <v>37</v>
      </c>
      <c r="G141" s="56" t="s">
        <v>1129</v>
      </c>
      <c r="H141" s="50"/>
      <c r="I141" s="51"/>
    </row>
    <row r="142" spans="1:10" ht="16" x14ac:dyDescent="0.2">
      <c r="A142" s="49" t="s">
        <v>402</v>
      </c>
      <c r="B142" s="49" t="s">
        <v>401</v>
      </c>
      <c r="C142" s="50" t="s">
        <v>57</v>
      </c>
      <c r="D142" s="50" t="s">
        <v>51</v>
      </c>
      <c r="E142" s="51" t="s">
        <v>879</v>
      </c>
      <c r="F142" s="50" t="s">
        <v>37</v>
      </c>
      <c r="G142" s="58" t="s">
        <v>1130</v>
      </c>
      <c r="H142" s="50"/>
      <c r="I142" s="53" t="s">
        <v>1131</v>
      </c>
    </row>
    <row r="143" spans="1:10" ht="16" x14ac:dyDescent="0.2">
      <c r="A143" s="49" t="s">
        <v>404</v>
      </c>
      <c r="B143" s="49" t="s">
        <v>405</v>
      </c>
      <c r="C143" s="50" t="s">
        <v>65</v>
      </c>
      <c r="D143" s="50" t="s">
        <v>51</v>
      </c>
      <c r="E143" s="51" t="s">
        <v>879</v>
      </c>
      <c r="F143" s="50" t="s">
        <v>880</v>
      </c>
      <c r="G143" s="58" t="s">
        <v>1132</v>
      </c>
      <c r="H143" s="50"/>
      <c r="I143" s="53" t="s">
        <v>1133</v>
      </c>
      <c r="J143" t="s">
        <v>1134</v>
      </c>
    </row>
    <row r="144" spans="1:10" ht="16" x14ac:dyDescent="0.2">
      <c r="A144" s="49" t="s">
        <v>407</v>
      </c>
      <c r="B144" s="49" t="s">
        <v>408</v>
      </c>
      <c r="C144" s="50" t="s">
        <v>905</v>
      </c>
      <c r="D144" s="50" t="s">
        <v>51</v>
      </c>
      <c r="E144" s="51" t="s">
        <v>879</v>
      </c>
      <c r="F144" s="50" t="s">
        <v>37</v>
      </c>
      <c r="G144" s="58" t="s">
        <v>1135</v>
      </c>
      <c r="H144" s="50" t="s">
        <v>37</v>
      </c>
      <c r="I144" s="53" t="s">
        <v>1136</v>
      </c>
    </row>
    <row r="145" spans="1:9" ht="16" x14ac:dyDescent="0.2">
      <c r="A145" s="49" t="s">
        <v>410</v>
      </c>
      <c r="B145" s="49" t="s">
        <v>409</v>
      </c>
      <c r="C145" s="50" t="s">
        <v>65</v>
      </c>
      <c r="D145" s="50" t="s">
        <v>36</v>
      </c>
      <c r="E145" s="51" t="s">
        <v>986</v>
      </c>
      <c r="F145" s="52" t="s">
        <v>37</v>
      </c>
      <c r="G145" s="52" t="s">
        <v>1137</v>
      </c>
      <c r="H145" s="52" t="s">
        <v>37</v>
      </c>
      <c r="I145" s="55" t="s">
        <v>1138</v>
      </c>
    </row>
    <row r="146" spans="1:9" ht="16" x14ac:dyDescent="0.2">
      <c r="A146" s="49" t="s">
        <v>412</v>
      </c>
      <c r="B146" s="49" t="s">
        <v>411</v>
      </c>
      <c r="C146" s="50" t="s">
        <v>57</v>
      </c>
      <c r="D146" s="50" t="s">
        <v>51</v>
      </c>
      <c r="E146" s="51" t="s">
        <v>879</v>
      </c>
      <c r="G146" s="56" t="s">
        <v>66</v>
      </c>
      <c r="H146" s="50"/>
      <c r="I146" s="51" t="s">
        <v>66</v>
      </c>
    </row>
    <row r="147" spans="1:9" ht="32" x14ac:dyDescent="0.2">
      <c r="A147" s="49" t="s">
        <v>414</v>
      </c>
      <c r="B147" s="49" t="s">
        <v>415</v>
      </c>
      <c r="C147" s="50" t="s">
        <v>65</v>
      </c>
      <c r="D147" s="50" t="s">
        <v>36</v>
      </c>
      <c r="E147" s="51" t="s">
        <v>986</v>
      </c>
      <c r="G147" s="57" t="s">
        <v>114</v>
      </c>
      <c r="H147" s="52"/>
      <c r="I147" s="55" t="s">
        <v>1139</v>
      </c>
    </row>
    <row r="148" spans="1:9" ht="16" x14ac:dyDescent="0.2">
      <c r="A148" s="49" t="s">
        <v>417</v>
      </c>
      <c r="B148" s="49" t="s">
        <v>418</v>
      </c>
      <c r="C148" s="50" t="s">
        <v>65</v>
      </c>
      <c r="D148" s="50" t="s">
        <v>36</v>
      </c>
      <c r="E148" s="51" t="s">
        <v>986</v>
      </c>
      <c r="F148" s="52" t="s">
        <v>37</v>
      </c>
      <c r="G148" s="52" t="s">
        <v>1140</v>
      </c>
      <c r="H148" s="52" t="s">
        <v>37</v>
      </c>
      <c r="I148" s="55" t="s">
        <v>1141</v>
      </c>
    </row>
    <row r="149" spans="1:9" ht="16" x14ac:dyDescent="0.2">
      <c r="A149" s="49" t="s">
        <v>420</v>
      </c>
      <c r="B149" s="49" t="s">
        <v>421</v>
      </c>
      <c r="C149" s="50" t="s">
        <v>57</v>
      </c>
      <c r="D149" s="50" t="s">
        <v>51</v>
      </c>
      <c r="E149" s="51" t="s">
        <v>879</v>
      </c>
      <c r="F149" s="50" t="s">
        <v>37</v>
      </c>
      <c r="G149" s="56" t="s">
        <v>1142</v>
      </c>
      <c r="H149" s="50"/>
      <c r="I149" s="53" t="s">
        <v>1143</v>
      </c>
    </row>
    <row r="150" spans="1:9" ht="16" x14ac:dyDescent="0.2">
      <c r="A150" s="49" t="s">
        <v>423</v>
      </c>
      <c r="B150" s="49" t="s">
        <v>424</v>
      </c>
      <c r="C150" s="50" t="s">
        <v>65</v>
      </c>
      <c r="D150" s="50" t="s">
        <v>36</v>
      </c>
      <c r="E150" s="51" t="s">
        <v>986</v>
      </c>
      <c r="F150" s="52" t="s">
        <v>37</v>
      </c>
      <c r="G150" s="52" t="s">
        <v>1144</v>
      </c>
      <c r="H150" s="52" t="s">
        <v>37</v>
      </c>
      <c r="I150" s="55" t="s">
        <v>1145</v>
      </c>
    </row>
    <row r="151" spans="1:9" ht="16" x14ac:dyDescent="0.2">
      <c r="A151" s="49" t="s">
        <v>426</v>
      </c>
      <c r="B151" s="49" t="s">
        <v>425</v>
      </c>
      <c r="C151" s="50" t="s">
        <v>65</v>
      </c>
      <c r="D151" s="50" t="s">
        <v>36</v>
      </c>
      <c r="E151" s="51" t="s">
        <v>986</v>
      </c>
      <c r="F151" s="52" t="s">
        <v>37</v>
      </c>
      <c r="G151" s="52" t="s">
        <v>1146</v>
      </c>
      <c r="H151" s="52" t="s">
        <v>37</v>
      </c>
      <c r="I151" s="55" t="s">
        <v>1147</v>
      </c>
    </row>
    <row r="152" spans="1:9" ht="16" x14ac:dyDescent="0.2">
      <c r="A152" s="49" t="s">
        <v>428</v>
      </c>
      <c r="B152" s="49" t="s">
        <v>429</v>
      </c>
      <c r="C152" s="50" t="s">
        <v>65</v>
      </c>
      <c r="D152" s="50" t="s">
        <v>51</v>
      </c>
      <c r="E152" s="51" t="s">
        <v>879</v>
      </c>
      <c r="F152" s="50" t="s">
        <v>880</v>
      </c>
      <c r="G152" s="56" t="s">
        <v>1148</v>
      </c>
      <c r="H152" s="50"/>
      <c r="I152" s="53" t="s">
        <v>1149</v>
      </c>
    </row>
    <row r="153" spans="1:9" ht="16" x14ac:dyDescent="0.2">
      <c r="A153" s="49" t="s">
        <v>431</v>
      </c>
      <c r="B153" s="49" t="s">
        <v>432</v>
      </c>
      <c r="C153" s="50" t="s">
        <v>905</v>
      </c>
      <c r="D153" s="50" t="s">
        <v>51</v>
      </c>
      <c r="E153" s="51" t="s">
        <v>879</v>
      </c>
      <c r="F153" s="50" t="s">
        <v>37</v>
      </c>
      <c r="G153" s="58" t="s">
        <v>1150</v>
      </c>
      <c r="H153" s="50" t="s">
        <v>37</v>
      </c>
      <c r="I153" s="53" t="s">
        <v>1151</v>
      </c>
    </row>
    <row r="154" spans="1:9" ht="32" x14ac:dyDescent="0.2">
      <c r="A154" s="49" t="s">
        <v>434</v>
      </c>
      <c r="B154" s="49" t="s">
        <v>435</v>
      </c>
      <c r="C154" s="50" t="s">
        <v>65</v>
      </c>
      <c r="D154" s="50" t="s">
        <v>36</v>
      </c>
      <c r="E154" s="51" t="s">
        <v>986</v>
      </c>
      <c r="F154" s="52" t="s">
        <v>37</v>
      </c>
      <c r="G154" s="52" t="s">
        <v>1152</v>
      </c>
      <c r="H154" s="52" t="s">
        <v>37</v>
      </c>
      <c r="I154" s="55" t="s">
        <v>1153</v>
      </c>
    </row>
    <row r="155" spans="1:9" ht="16" x14ac:dyDescent="0.2">
      <c r="A155" s="49" t="s">
        <v>437</v>
      </c>
      <c r="B155" s="49" t="s">
        <v>436</v>
      </c>
      <c r="C155" s="50" t="s">
        <v>65</v>
      </c>
      <c r="D155" s="50" t="s">
        <v>36</v>
      </c>
      <c r="E155" s="51" t="s">
        <v>986</v>
      </c>
      <c r="F155" s="52" t="s">
        <v>37</v>
      </c>
      <c r="G155" s="52" t="s">
        <v>1154</v>
      </c>
      <c r="H155" s="52" t="s">
        <v>37</v>
      </c>
      <c r="I155" s="55" t="s">
        <v>1155</v>
      </c>
    </row>
    <row r="156" spans="1:9" ht="16" x14ac:dyDescent="0.2">
      <c r="A156" s="49" t="s">
        <v>439</v>
      </c>
      <c r="B156" s="49" t="s">
        <v>438</v>
      </c>
      <c r="C156" s="50" t="s">
        <v>65</v>
      </c>
      <c r="D156" s="50" t="s">
        <v>36</v>
      </c>
      <c r="E156" s="51" t="s">
        <v>986</v>
      </c>
      <c r="G156" s="57" t="s">
        <v>114</v>
      </c>
      <c r="H156" s="52"/>
      <c r="I156" s="55" t="s">
        <v>1156</v>
      </c>
    </row>
    <row r="157" spans="1:9" ht="16" x14ac:dyDescent="0.2">
      <c r="A157" s="49" t="s">
        <v>441</v>
      </c>
      <c r="B157" s="49" t="s">
        <v>442</v>
      </c>
      <c r="C157" s="50" t="s">
        <v>1083</v>
      </c>
      <c r="D157" s="50" t="s">
        <v>867</v>
      </c>
      <c r="E157" s="51" t="s">
        <v>868</v>
      </c>
      <c r="G157" s="56" t="s">
        <v>1157</v>
      </c>
      <c r="H157" s="50"/>
      <c r="I157" s="53" t="s">
        <v>1158</v>
      </c>
    </row>
    <row r="158" spans="1:9" ht="16" x14ac:dyDescent="0.2">
      <c r="A158" s="49" t="s">
        <v>444</v>
      </c>
      <c r="B158" s="49" t="s">
        <v>445</v>
      </c>
      <c r="C158" s="50" t="s">
        <v>65</v>
      </c>
      <c r="D158" s="50" t="s">
        <v>36</v>
      </c>
      <c r="E158" s="51" t="s">
        <v>986</v>
      </c>
      <c r="F158" s="52" t="s">
        <v>37</v>
      </c>
      <c r="G158" s="52" t="s">
        <v>1159</v>
      </c>
      <c r="H158" s="52" t="s">
        <v>37</v>
      </c>
      <c r="I158" s="55" t="s">
        <v>1160</v>
      </c>
    </row>
    <row r="159" spans="1:9" ht="16" x14ac:dyDescent="0.2">
      <c r="A159" s="49" t="s">
        <v>447</v>
      </c>
      <c r="B159" s="49" t="s">
        <v>446</v>
      </c>
      <c r="C159" s="50" t="s">
        <v>57</v>
      </c>
      <c r="D159" s="50" t="s">
        <v>51</v>
      </c>
      <c r="E159" s="51" t="s">
        <v>879</v>
      </c>
      <c r="F159" s="50" t="s">
        <v>37</v>
      </c>
      <c r="G159" s="56" t="s">
        <v>1161</v>
      </c>
      <c r="H159" s="50"/>
      <c r="I159" s="53" t="s">
        <v>1162</v>
      </c>
    </row>
    <row r="160" spans="1:9" ht="16" x14ac:dyDescent="0.2">
      <c r="A160" s="49" t="s">
        <v>449</v>
      </c>
      <c r="B160" s="49" t="s">
        <v>450</v>
      </c>
      <c r="C160" s="50" t="s">
        <v>65</v>
      </c>
      <c r="D160" s="50" t="s">
        <v>36</v>
      </c>
      <c r="E160" s="51" t="s">
        <v>986</v>
      </c>
      <c r="F160" s="52" t="s">
        <v>37</v>
      </c>
      <c r="G160" s="52" t="s">
        <v>1163</v>
      </c>
      <c r="H160" s="52" t="s">
        <v>37</v>
      </c>
      <c r="I160" s="55" t="s">
        <v>1164</v>
      </c>
    </row>
    <row r="161" spans="1:9" ht="16" x14ac:dyDescent="0.2">
      <c r="A161" s="49" t="s">
        <v>452</v>
      </c>
      <c r="B161" s="49" t="s">
        <v>451</v>
      </c>
      <c r="C161" s="50" t="s">
        <v>65</v>
      </c>
      <c r="D161" s="50" t="s">
        <v>36</v>
      </c>
      <c r="E161" s="51" t="s">
        <v>986</v>
      </c>
      <c r="F161" s="52" t="s">
        <v>37</v>
      </c>
      <c r="G161" s="52" t="s">
        <v>1165</v>
      </c>
      <c r="H161" s="52" t="s">
        <v>37</v>
      </c>
      <c r="I161" s="55" t="s">
        <v>1166</v>
      </c>
    </row>
    <row r="162" spans="1:9" ht="16" x14ac:dyDescent="0.2">
      <c r="A162" s="49" t="s">
        <v>454</v>
      </c>
      <c r="B162" s="49" t="s">
        <v>455</v>
      </c>
      <c r="C162" s="50" t="s">
        <v>65</v>
      </c>
      <c r="D162" s="50" t="s">
        <v>36</v>
      </c>
      <c r="E162" s="51" t="s">
        <v>986</v>
      </c>
      <c r="F162" s="52" t="s">
        <v>37</v>
      </c>
      <c r="G162" s="52" t="s">
        <v>1167</v>
      </c>
      <c r="H162" s="52" t="s">
        <v>37</v>
      </c>
      <c r="I162" s="55" t="s">
        <v>1168</v>
      </c>
    </row>
    <row r="163" spans="1:9" ht="16" x14ac:dyDescent="0.2">
      <c r="A163" s="49" t="s">
        <v>458</v>
      </c>
      <c r="B163" s="49" t="s">
        <v>459</v>
      </c>
      <c r="C163" s="50" t="s">
        <v>65</v>
      </c>
      <c r="D163" s="50" t="s">
        <v>51</v>
      </c>
      <c r="E163" s="51" t="s">
        <v>879</v>
      </c>
      <c r="F163" s="50" t="s">
        <v>880</v>
      </c>
      <c r="G163" s="56" t="s">
        <v>1169</v>
      </c>
      <c r="H163" s="50"/>
      <c r="I163" s="53" t="s">
        <v>1170</v>
      </c>
    </row>
    <row r="164" spans="1:9" ht="16" x14ac:dyDescent="0.2">
      <c r="A164" s="49" t="s">
        <v>461</v>
      </c>
      <c r="B164" s="49" t="s">
        <v>460</v>
      </c>
      <c r="C164" s="50" t="s">
        <v>65</v>
      </c>
      <c r="D164" s="50" t="s">
        <v>36</v>
      </c>
      <c r="E164" s="51" t="s">
        <v>986</v>
      </c>
      <c r="F164" s="52" t="s">
        <v>37</v>
      </c>
      <c r="G164" s="52" t="s">
        <v>1171</v>
      </c>
      <c r="H164" s="52" t="s">
        <v>37</v>
      </c>
      <c r="I164" s="55" t="s">
        <v>1172</v>
      </c>
    </row>
    <row r="165" spans="1:9" ht="16" x14ac:dyDescent="0.2">
      <c r="A165" s="49" t="s">
        <v>464</v>
      </c>
      <c r="B165" s="49" t="s">
        <v>465</v>
      </c>
      <c r="C165" s="50" t="s">
        <v>65</v>
      </c>
      <c r="D165" s="50" t="s">
        <v>36</v>
      </c>
      <c r="E165" s="51" t="s">
        <v>986</v>
      </c>
      <c r="F165" s="52" t="s">
        <v>37</v>
      </c>
      <c r="G165" s="52" t="s">
        <v>1173</v>
      </c>
      <c r="H165" s="52" t="s">
        <v>37</v>
      </c>
      <c r="I165" s="55" t="s">
        <v>1174</v>
      </c>
    </row>
    <row r="166" spans="1:9" ht="16" x14ac:dyDescent="0.2">
      <c r="A166" s="49" t="s">
        <v>467</v>
      </c>
      <c r="B166" s="49" t="s">
        <v>468</v>
      </c>
      <c r="C166" s="50" t="s">
        <v>905</v>
      </c>
      <c r="D166" s="50" t="s">
        <v>51</v>
      </c>
      <c r="E166" s="51" t="s">
        <v>879</v>
      </c>
      <c r="F166" s="50" t="s">
        <v>37</v>
      </c>
      <c r="G166" t="s">
        <v>1175</v>
      </c>
      <c r="H166" s="50" t="s">
        <v>37</v>
      </c>
      <c r="I166" s="53" t="s">
        <v>1176</v>
      </c>
    </row>
    <row r="167" spans="1:9" ht="32" x14ac:dyDescent="0.2">
      <c r="A167" s="49" t="s">
        <v>470</v>
      </c>
      <c r="B167" s="49" t="s">
        <v>471</v>
      </c>
      <c r="C167" s="50" t="s">
        <v>65</v>
      </c>
      <c r="D167" s="50" t="s">
        <v>36</v>
      </c>
      <c r="E167" s="51" t="s">
        <v>986</v>
      </c>
      <c r="F167" s="52" t="s">
        <v>37</v>
      </c>
      <c r="G167" s="52" t="s">
        <v>1177</v>
      </c>
      <c r="H167" s="52" t="s">
        <v>37</v>
      </c>
      <c r="I167" s="55" t="s">
        <v>1178</v>
      </c>
    </row>
    <row r="168" spans="1:9" ht="16" x14ac:dyDescent="0.2">
      <c r="A168" s="49" t="s">
        <v>473</v>
      </c>
      <c r="B168" s="49" t="s">
        <v>474</v>
      </c>
      <c r="C168" s="50" t="s">
        <v>65</v>
      </c>
      <c r="D168" s="50" t="s">
        <v>36</v>
      </c>
      <c r="E168" s="51" t="s">
        <v>986</v>
      </c>
      <c r="F168" s="52" t="s">
        <v>37</v>
      </c>
      <c r="G168" s="52" t="s">
        <v>1179</v>
      </c>
      <c r="H168" s="52" t="s">
        <v>37</v>
      </c>
      <c r="I168" s="55" t="s">
        <v>1180</v>
      </c>
    </row>
    <row r="169" spans="1:9" ht="16" x14ac:dyDescent="0.2">
      <c r="A169" s="49" t="s">
        <v>476</v>
      </c>
      <c r="B169" s="49" t="s">
        <v>475</v>
      </c>
      <c r="C169" s="50" t="s">
        <v>65</v>
      </c>
      <c r="D169" s="50" t="s">
        <v>36</v>
      </c>
      <c r="E169" s="51" t="s">
        <v>986</v>
      </c>
      <c r="F169" s="52" t="s">
        <v>37</v>
      </c>
      <c r="G169" s="52" t="s">
        <v>1181</v>
      </c>
      <c r="H169" s="52" t="s">
        <v>37</v>
      </c>
      <c r="I169" s="55" t="s">
        <v>1182</v>
      </c>
    </row>
    <row r="170" spans="1:9" ht="16" x14ac:dyDescent="0.2">
      <c r="A170" s="49" t="s">
        <v>479</v>
      </c>
      <c r="B170" s="49" t="s">
        <v>480</v>
      </c>
      <c r="C170" s="50" t="s">
        <v>1083</v>
      </c>
      <c r="D170" s="50" t="s">
        <v>51</v>
      </c>
      <c r="E170" s="51" t="s">
        <v>879</v>
      </c>
      <c r="F170" s="50" t="s">
        <v>883</v>
      </c>
      <c r="H170" s="50"/>
      <c r="I170" s="53" t="s">
        <v>1183</v>
      </c>
    </row>
    <row r="171" spans="1:9" ht="16" x14ac:dyDescent="0.2">
      <c r="A171" s="49" t="s">
        <v>482</v>
      </c>
      <c r="B171" s="49" t="s">
        <v>481</v>
      </c>
      <c r="C171" s="50" t="s">
        <v>65</v>
      </c>
      <c r="D171" s="50" t="s">
        <v>36</v>
      </c>
      <c r="E171" s="51" t="s">
        <v>986</v>
      </c>
      <c r="G171" s="57" t="s">
        <v>1184</v>
      </c>
      <c r="H171" s="52"/>
      <c r="I171" s="55" t="s">
        <v>1185</v>
      </c>
    </row>
    <row r="172" spans="1:9" ht="16" x14ac:dyDescent="0.2">
      <c r="A172" s="49" t="s">
        <v>484</v>
      </c>
      <c r="B172" s="49" t="s">
        <v>483</v>
      </c>
      <c r="C172" s="50" t="s">
        <v>65</v>
      </c>
      <c r="D172" s="50" t="s">
        <v>36</v>
      </c>
      <c r="E172" s="51" t="s">
        <v>986</v>
      </c>
      <c r="F172" s="52" t="s">
        <v>37</v>
      </c>
      <c r="G172" s="52" t="s">
        <v>1186</v>
      </c>
      <c r="H172" s="52" t="s">
        <v>37</v>
      </c>
      <c r="I172" s="55" t="s">
        <v>1187</v>
      </c>
    </row>
    <row r="173" spans="1:9" ht="16" x14ac:dyDescent="0.2">
      <c r="A173" s="49" t="s">
        <v>487</v>
      </c>
      <c r="B173" s="49" t="s">
        <v>486</v>
      </c>
      <c r="C173" s="50" t="s">
        <v>65</v>
      </c>
      <c r="D173" s="50" t="s">
        <v>36</v>
      </c>
      <c r="E173" s="51" t="s">
        <v>986</v>
      </c>
      <c r="F173" s="52" t="s">
        <v>37</v>
      </c>
      <c r="G173" s="52" t="s">
        <v>1188</v>
      </c>
      <c r="H173" s="52" t="s">
        <v>37</v>
      </c>
      <c r="I173" s="55" t="s">
        <v>1189</v>
      </c>
    </row>
    <row r="174" spans="1:9" ht="16" x14ac:dyDescent="0.2">
      <c r="A174" s="49" t="s">
        <v>489</v>
      </c>
      <c r="B174" s="49" t="s">
        <v>490</v>
      </c>
      <c r="C174" s="50" t="s">
        <v>65</v>
      </c>
      <c r="D174" s="50" t="s">
        <v>36</v>
      </c>
      <c r="E174" s="51" t="s">
        <v>986</v>
      </c>
      <c r="F174" s="52" t="s">
        <v>37</v>
      </c>
      <c r="G174" s="52" t="s">
        <v>1190</v>
      </c>
      <c r="H174" s="52" t="s">
        <v>37</v>
      </c>
      <c r="I174" s="55" t="s">
        <v>1191</v>
      </c>
    </row>
    <row r="175" spans="1:9" ht="16" x14ac:dyDescent="0.2">
      <c r="A175" s="49" t="s">
        <v>493</v>
      </c>
      <c r="B175" s="49" t="s">
        <v>492</v>
      </c>
      <c r="C175" s="50" t="s">
        <v>65</v>
      </c>
      <c r="D175" s="50" t="s">
        <v>36</v>
      </c>
      <c r="E175" s="51" t="s">
        <v>986</v>
      </c>
      <c r="G175" s="57" t="s">
        <v>114</v>
      </c>
      <c r="H175" s="52"/>
      <c r="I175" s="55" t="s">
        <v>1192</v>
      </c>
    </row>
    <row r="176" spans="1:9" ht="16" x14ac:dyDescent="0.2">
      <c r="A176" s="49" t="s">
        <v>495</v>
      </c>
      <c r="B176" s="49" t="s">
        <v>494</v>
      </c>
      <c r="C176" s="50" t="s">
        <v>65</v>
      </c>
      <c r="D176" s="50" t="s">
        <v>36</v>
      </c>
      <c r="E176" s="51" t="s">
        <v>986</v>
      </c>
      <c r="F176" s="52" t="s">
        <v>37</v>
      </c>
      <c r="G176" s="52" t="s">
        <v>1193</v>
      </c>
      <c r="H176" s="52" t="s">
        <v>37</v>
      </c>
      <c r="I176" s="55" t="s">
        <v>1194</v>
      </c>
    </row>
    <row r="177" spans="1:9" ht="16" x14ac:dyDescent="0.2">
      <c r="A177" s="49" t="s">
        <v>498</v>
      </c>
      <c r="B177" s="49" t="s">
        <v>499</v>
      </c>
      <c r="C177" s="50" t="s">
        <v>65</v>
      </c>
      <c r="D177" s="50" t="s">
        <v>36</v>
      </c>
      <c r="E177" s="51" t="s">
        <v>986</v>
      </c>
      <c r="F177" s="52" t="s">
        <v>37</v>
      </c>
      <c r="G177" s="52" t="s">
        <v>1195</v>
      </c>
      <c r="H177" s="52" t="s">
        <v>37</v>
      </c>
      <c r="I177" s="55" t="s">
        <v>1196</v>
      </c>
    </row>
    <row r="178" spans="1:9" ht="16" x14ac:dyDescent="0.2">
      <c r="A178" s="49" t="s">
        <v>501</v>
      </c>
      <c r="B178" s="49" t="s">
        <v>502</v>
      </c>
      <c r="C178" s="50" t="s">
        <v>65</v>
      </c>
      <c r="D178" s="50" t="s">
        <v>36</v>
      </c>
      <c r="E178" s="51" t="s">
        <v>986</v>
      </c>
      <c r="F178" s="52" t="s">
        <v>37</v>
      </c>
      <c r="G178" s="52" t="s">
        <v>1197</v>
      </c>
      <c r="H178" s="52" t="s">
        <v>37</v>
      </c>
      <c r="I178" s="55" t="s">
        <v>1198</v>
      </c>
    </row>
    <row r="179" spans="1:9" ht="16" x14ac:dyDescent="0.2">
      <c r="A179" s="49" t="s">
        <v>504</v>
      </c>
      <c r="B179" s="49" t="s">
        <v>505</v>
      </c>
      <c r="C179" s="50" t="s">
        <v>65</v>
      </c>
      <c r="D179" s="50" t="s">
        <v>36</v>
      </c>
      <c r="E179" s="51" t="s">
        <v>986</v>
      </c>
      <c r="F179" s="52" t="s">
        <v>37</v>
      </c>
      <c r="G179" s="52" t="s">
        <v>1199</v>
      </c>
      <c r="H179" s="52" t="s">
        <v>37</v>
      </c>
      <c r="I179" s="55" t="s">
        <v>1200</v>
      </c>
    </row>
    <row r="180" spans="1:9" ht="16" x14ac:dyDescent="0.2">
      <c r="A180" s="49" t="s">
        <v>507</v>
      </c>
      <c r="B180" s="49" t="s">
        <v>506</v>
      </c>
      <c r="C180" s="50" t="s">
        <v>65</v>
      </c>
      <c r="D180" s="50" t="s">
        <v>36</v>
      </c>
      <c r="E180" s="51" t="s">
        <v>986</v>
      </c>
      <c r="F180" s="52" t="s">
        <v>37</v>
      </c>
      <c r="G180" s="52" t="s">
        <v>1201</v>
      </c>
      <c r="H180" s="52" t="s">
        <v>37</v>
      </c>
      <c r="I180" s="55" t="s">
        <v>1202</v>
      </c>
    </row>
    <row r="181" spans="1:9" ht="16" x14ac:dyDescent="0.2">
      <c r="A181" s="49" t="s">
        <v>509</v>
      </c>
      <c r="B181" s="49" t="s">
        <v>510</v>
      </c>
      <c r="C181" s="50" t="s">
        <v>65</v>
      </c>
      <c r="D181" s="50" t="s">
        <v>36</v>
      </c>
      <c r="E181" s="51" t="s">
        <v>986</v>
      </c>
      <c r="F181" s="52" t="s">
        <v>37</v>
      </c>
      <c r="G181" s="52" t="s">
        <v>1203</v>
      </c>
      <c r="H181" s="52" t="s">
        <v>37</v>
      </c>
      <c r="I181" s="55" t="s">
        <v>1204</v>
      </c>
    </row>
    <row r="182" spans="1:9" ht="16" x14ac:dyDescent="0.2">
      <c r="A182" s="49" t="s">
        <v>512</v>
      </c>
      <c r="B182" s="49" t="s">
        <v>511</v>
      </c>
      <c r="C182" s="50" t="s">
        <v>65</v>
      </c>
      <c r="D182" s="50" t="s">
        <v>36</v>
      </c>
      <c r="E182" s="51" t="s">
        <v>986</v>
      </c>
      <c r="F182" s="52"/>
      <c r="G182" s="57" t="s">
        <v>114</v>
      </c>
      <c r="H182" s="52"/>
      <c r="I182" s="55" t="s">
        <v>1205</v>
      </c>
    </row>
    <row r="183" spans="1:9" ht="16" x14ac:dyDescent="0.2">
      <c r="A183" s="49" t="s">
        <v>515</v>
      </c>
      <c r="B183" s="49" t="s">
        <v>514</v>
      </c>
      <c r="C183" s="50" t="s">
        <v>65</v>
      </c>
      <c r="D183" s="50" t="s">
        <v>36</v>
      </c>
      <c r="E183" s="51" t="s">
        <v>986</v>
      </c>
      <c r="F183" s="52"/>
      <c r="G183" s="60" t="s">
        <v>1206</v>
      </c>
      <c r="H183" s="52"/>
      <c r="I183" s="55" t="s">
        <v>1207</v>
      </c>
    </row>
    <row r="184" spans="1:9" ht="16" x14ac:dyDescent="0.2">
      <c r="A184" s="49" t="s">
        <v>517</v>
      </c>
      <c r="B184" s="49" t="s">
        <v>518</v>
      </c>
      <c r="C184" s="50" t="s">
        <v>57</v>
      </c>
      <c r="D184" s="50" t="s">
        <v>51</v>
      </c>
      <c r="E184" s="51" t="s">
        <v>879</v>
      </c>
      <c r="F184" s="50" t="s">
        <v>37</v>
      </c>
      <c r="G184" s="58" t="s">
        <v>1208</v>
      </c>
      <c r="H184" s="50"/>
      <c r="I184" s="53" t="s">
        <v>1209</v>
      </c>
    </row>
    <row r="185" spans="1:9" ht="32" x14ac:dyDescent="0.2">
      <c r="A185" s="49" t="s">
        <v>520</v>
      </c>
      <c r="B185" s="49" t="s">
        <v>521</v>
      </c>
      <c r="C185" s="50" t="s">
        <v>65</v>
      </c>
      <c r="D185" s="50" t="s">
        <v>51</v>
      </c>
      <c r="E185" s="51" t="s">
        <v>879</v>
      </c>
      <c r="F185" s="50" t="s">
        <v>880</v>
      </c>
      <c r="G185" s="58" t="s">
        <v>1210</v>
      </c>
      <c r="H185" s="50"/>
      <c r="I185" s="53" t="s">
        <v>1211</v>
      </c>
    </row>
    <row r="186" spans="1:9" ht="16" x14ac:dyDescent="0.2">
      <c r="A186" s="49" t="s">
        <v>523</v>
      </c>
      <c r="B186" s="49" t="s">
        <v>524</v>
      </c>
      <c r="C186" s="50" t="s">
        <v>905</v>
      </c>
      <c r="D186" s="50" t="s">
        <v>51</v>
      </c>
      <c r="E186" s="51" t="s">
        <v>879</v>
      </c>
      <c r="F186" s="50" t="s">
        <v>37</v>
      </c>
      <c r="G186" t="s">
        <v>1212</v>
      </c>
      <c r="H186" s="50" t="s">
        <v>37</v>
      </c>
      <c r="I186" s="53" t="s">
        <v>1213</v>
      </c>
    </row>
    <row r="187" spans="1:9" ht="16" x14ac:dyDescent="0.2">
      <c r="A187" s="49" t="s">
        <v>526</v>
      </c>
      <c r="B187" s="49" t="s">
        <v>525</v>
      </c>
      <c r="C187" s="50" t="s">
        <v>57</v>
      </c>
      <c r="D187" s="50" t="s">
        <v>51</v>
      </c>
      <c r="E187" s="51" t="s">
        <v>879</v>
      </c>
      <c r="F187" s="50"/>
      <c r="G187" s="56" t="s">
        <v>66</v>
      </c>
      <c r="H187" s="50"/>
      <c r="I187" s="51" t="s">
        <v>66</v>
      </c>
    </row>
    <row r="188" spans="1:9" ht="16" x14ac:dyDescent="0.2">
      <c r="A188" s="49" t="str" cm="1">
        <f t="array" ref="A188">_xlfn.XLOOKUP(A2,'Automation Prepping'!$A$2:'Automation Prepping'!$A$315, 'Automation Prepping'!$H$2:'Automation Prepping'!$H$315)</f>
        <v>Y</v>
      </c>
      <c r="B188" s="49" t="s">
        <v>529</v>
      </c>
      <c r="C188" s="50" t="s">
        <v>57</v>
      </c>
      <c r="D188" s="50" t="s">
        <v>51</v>
      </c>
      <c r="E188" s="51" t="s">
        <v>879</v>
      </c>
      <c r="F188" s="50" t="s">
        <v>37</v>
      </c>
      <c r="G188" s="58" t="s">
        <v>1214</v>
      </c>
      <c r="H188" s="50"/>
      <c r="I188" s="53" t="s">
        <v>1215</v>
      </c>
    </row>
    <row r="189" spans="1:9" ht="16" x14ac:dyDescent="0.2">
      <c r="A189" s="49" t="s">
        <v>531</v>
      </c>
      <c r="B189" s="49" t="s">
        <v>532</v>
      </c>
      <c r="C189" s="50" t="s">
        <v>65</v>
      </c>
      <c r="D189" s="50" t="s">
        <v>51</v>
      </c>
      <c r="E189" s="51" t="s">
        <v>879</v>
      </c>
      <c r="F189" s="50" t="s">
        <v>880</v>
      </c>
      <c r="G189" s="58" t="s">
        <v>1216</v>
      </c>
      <c r="H189" s="50"/>
      <c r="I189" s="53" t="s">
        <v>1217</v>
      </c>
    </row>
    <row r="190" spans="1:9" ht="16" x14ac:dyDescent="0.2">
      <c r="A190" s="49" t="s">
        <v>534</v>
      </c>
      <c r="B190" s="49" t="s">
        <v>533</v>
      </c>
      <c r="C190" s="50" t="s">
        <v>65</v>
      </c>
      <c r="D190" s="50" t="s">
        <v>36</v>
      </c>
      <c r="E190" s="51" t="s">
        <v>986</v>
      </c>
      <c r="F190" s="52" t="s">
        <v>37</v>
      </c>
      <c r="G190" s="52" t="s">
        <v>1218</v>
      </c>
      <c r="H190" s="52" t="s">
        <v>37</v>
      </c>
      <c r="I190" s="55" t="s">
        <v>1219</v>
      </c>
    </row>
    <row r="191" spans="1:9" ht="16" x14ac:dyDescent="0.2">
      <c r="A191" s="49" t="s">
        <v>536</v>
      </c>
      <c r="B191" s="49" t="s">
        <v>537</v>
      </c>
      <c r="C191" s="50" t="s">
        <v>65</v>
      </c>
      <c r="D191" s="50" t="s">
        <v>36</v>
      </c>
      <c r="E191" s="51" t="s">
        <v>986</v>
      </c>
      <c r="F191" s="52" t="s">
        <v>37</v>
      </c>
      <c r="G191" s="52" t="s">
        <v>1220</v>
      </c>
      <c r="H191" s="52" t="s">
        <v>37</v>
      </c>
      <c r="I191" s="55" t="s">
        <v>1221</v>
      </c>
    </row>
    <row r="192" spans="1:9" ht="16" x14ac:dyDescent="0.2">
      <c r="A192" s="49" t="s">
        <v>539</v>
      </c>
      <c r="B192" s="49" t="s">
        <v>540</v>
      </c>
      <c r="C192" s="50" t="s">
        <v>65</v>
      </c>
      <c r="D192" s="50" t="s">
        <v>36</v>
      </c>
      <c r="E192" s="51" t="s">
        <v>986</v>
      </c>
      <c r="F192" s="52" t="s">
        <v>37</v>
      </c>
      <c r="G192" s="52" t="s">
        <v>1222</v>
      </c>
      <c r="H192" s="52" t="s">
        <v>37</v>
      </c>
      <c r="I192" s="55" t="s">
        <v>1223</v>
      </c>
    </row>
    <row r="193" spans="1:9" ht="16" x14ac:dyDescent="0.2">
      <c r="A193" s="49" t="s">
        <v>542</v>
      </c>
      <c r="B193" s="49" t="s">
        <v>541</v>
      </c>
      <c r="C193" s="50" t="s">
        <v>65</v>
      </c>
      <c r="D193" s="50" t="s">
        <v>36</v>
      </c>
      <c r="E193" s="51" t="s">
        <v>986</v>
      </c>
      <c r="F193" s="52" t="s">
        <v>37</v>
      </c>
      <c r="G193" s="52" t="s">
        <v>1224</v>
      </c>
      <c r="H193" s="52" t="s">
        <v>37</v>
      </c>
      <c r="I193" s="55" t="s">
        <v>1225</v>
      </c>
    </row>
    <row r="194" spans="1:9" ht="16" x14ac:dyDescent="0.2">
      <c r="A194" s="49" t="s">
        <v>544</v>
      </c>
      <c r="B194" s="49" t="s">
        <v>543</v>
      </c>
      <c r="C194" s="50" t="s">
        <v>65</v>
      </c>
      <c r="D194" s="50" t="s">
        <v>36</v>
      </c>
      <c r="E194" s="51" t="s">
        <v>986</v>
      </c>
      <c r="G194" s="52"/>
      <c r="H194" s="52"/>
      <c r="I194" s="55" t="s">
        <v>1226</v>
      </c>
    </row>
    <row r="195" spans="1:9" ht="16" x14ac:dyDescent="0.2">
      <c r="A195" s="49" t="s">
        <v>546</v>
      </c>
      <c r="B195" s="49" t="s">
        <v>547</v>
      </c>
      <c r="C195" s="50" t="s">
        <v>905</v>
      </c>
      <c r="D195" s="50" t="s">
        <v>51</v>
      </c>
      <c r="E195" s="51" t="s">
        <v>879</v>
      </c>
      <c r="F195" s="50" t="s">
        <v>37</v>
      </c>
      <c r="G195" t="s">
        <v>1227</v>
      </c>
      <c r="H195" s="50" t="s">
        <v>37</v>
      </c>
      <c r="I195" s="53" t="s">
        <v>1228</v>
      </c>
    </row>
    <row r="196" spans="1:9" ht="16" x14ac:dyDescent="0.2">
      <c r="A196" s="49" t="s">
        <v>549</v>
      </c>
      <c r="B196" s="49" t="s">
        <v>548</v>
      </c>
      <c r="C196" s="50" t="s">
        <v>65</v>
      </c>
      <c r="D196" s="50" t="s">
        <v>36</v>
      </c>
      <c r="E196" s="51" t="s">
        <v>986</v>
      </c>
      <c r="G196" s="52"/>
      <c r="H196" s="52"/>
      <c r="I196" s="55" t="s">
        <v>1229</v>
      </c>
    </row>
    <row r="197" spans="1:9" ht="16" x14ac:dyDescent="0.2">
      <c r="A197" s="49" t="s">
        <v>551</v>
      </c>
      <c r="B197" s="49" t="s">
        <v>552</v>
      </c>
      <c r="C197" s="50" t="s">
        <v>65</v>
      </c>
      <c r="D197" s="50" t="s">
        <v>36</v>
      </c>
      <c r="E197" s="51" t="s">
        <v>986</v>
      </c>
      <c r="F197" s="52" t="s">
        <v>37</v>
      </c>
      <c r="G197" s="52" t="s">
        <v>1230</v>
      </c>
      <c r="H197" s="52" t="s">
        <v>37</v>
      </c>
      <c r="I197" s="55" t="s">
        <v>1231</v>
      </c>
    </row>
    <row r="198" spans="1:9" ht="16" x14ac:dyDescent="0.2">
      <c r="A198" s="49" t="s">
        <v>554</v>
      </c>
      <c r="B198" s="49" t="s">
        <v>555</v>
      </c>
      <c r="C198" s="50" t="s">
        <v>65</v>
      </c>
      <c r="D198" s="50" t="s">
        <v>36</v>
      </c>
      <c r="E198" s="51" t="s">
        <v>986</v>
      </c>
      <c r="F198" s="52" t="s">
        <v>37</v>
      </c>
      <c r="G198" s="52" t="s">
        <v>1232</v>
      </c>
      <c r="H198" s="52" t="s">
        <v>37</v>
      </c>
      <c r="I198" s="55" t="s">
        <v>1233</v>
      </c>
    </row>
    <row r="199" spans="1:9" ht="16" x14ac:dyDescent="0.2">
      <c r="A199" s="49" t="s">
        <v>557</v>
      </c>
      <c r="B199" s="49" t="s">
        <v>558</v>
      </c>
      <c r="C199" s="50" t="s">
        <v>65</v>
      </c>
      <c r="D199" s="50" t="s">
        <v>36</v>
      </c>
      <c r="E199" s="51" t="s">
        <v>986</v>
      </c>
      <c r="F199" s="52" t="s">
        <v>37</v>
      </c>
      <c r="G199" s="52" t="s">
        <v>1234</v>
      </c>
      <c r="H199" s="52" t="s">
        <v>37</v>
      </c>
      <c r="I199" s="55" t="s">
        <v>1235</v>
      </c>
    </row>
    <row r="200" spans="1:9" ht="16" x14ac:dyDescent="0.2">
      <c r="A200" s="49" t="s">
        <v>560</v>
      </c>
      <c r="B200" s="49" t="s">
        <v>561</v>
      </c>
      <c r="C200" s="50" t="s">
        <v>65</v>
      </c>
      <c r="D200" s="50" t="s">
        <v>36</v>
      </c>
      <c r="E200" s="51" t="s">
        <v>986</v>
      </c>
      <c r="F200" s="52" t="s">
        <v>37</v>
      </c>
      <c r="G200" s="52" t="s">
        <v>1236</v>
      </c>
      <c r="H200" s="52" t="s">
        <v>37</v>
      </c>
      <c r="I200" s="55" t="s">
        <v>1237</v>
      </c>
    </row>
    <row r="201" spans="1:9" ht="16" x14ac:dyDescent="0.2">
      <c r="A201" s="49" t="s">
        <v>564</v>
      </c>
      <c r="B201" s="49" t="s">
        <v>565</v>
      </c>
      <c r="C201" s="50" t="s">
        <v>57</v>
      </c>
      <c r="D201" s="50" t="s">
        <v>51</v>
      </c>
      <c r="E201" s="51" t="s">
        <v>879</v>
      </c>
      <c r="F201" s="50" t="s">
        <v>37</v>
      </c>
      <c r="G201" s="56" t="s">
        <v>1238</v>
      </c>
      <c r="H201" s="50"/>
      <c r="I201" s="51"/>
    </row>
    <row r="202" spans="1:9" ht="16" x14ac:dyDescent="0.2">
      <c r="A202" s="49" t="s">
        <v>567</v>
      </c>
      <c r="B202" s="49" t="s">
        <v>568</v>
      </c>
      <c r="C202" s="50" t="s">
        <v>57</v>
      </c>
      <c r="D202" s="50" t="s">
        <v>51</v>
      </c>
      <c r="E202" s="51" t="s">
        <v>879</v>
      </c>
      <c r="F202" s="50" t="s">
        <v>37</v>
      </c>
      <c r="G202" s="58" t="s">
        <v>1239</v>
      </c>
      <c r="H202" s="50"/>
      <c r="I202" s="53" t="s">
        <v>1240</v>
      </c>
    </row>
    <row r="203" spans="1:9" ht="16" x14ac:dyDescent="0.2">
      <c r="A203" s="49" t="s">
        <v>570</v>
      </c>
      <c r="B203" s="49" t="s">
        <v>571</v>
      </c>
      <c r="C203" s="50" t="s">
        <v>65</v>
      </c>
      <c r="D203" s="50" t="s">
        <v>51</v>
      </c>
      <c r="E203" s="51" t="s">
        <v>879</v>
      </c>
      <c r="F203" s="50" t="s">
        <v>880</v>
      </c>
      <c r="G203" s="58" t="s">
        <v>1241</v>
      </c>
      <c r="H203" s="50"/>
      <c r="I203" s="53" t="s">
        <v>1242</v>
      </c>
    </row>
    <row r="204" spans="1:9" ht="16" x14ac:dyDescent="0.2">
      <c r="A204" s="49" t="s">
        <v>573</v>
      </c>
      <c r="B204" s="49" t="s">
        <v>574</v>
      </c>
      <c r="C204" s="50" t="s">
        <v>65</v>
      </c>
      <c r="D204" s="50" t="s">
        <v>36</v>
      </c>
      <c r="E204" s="51" t="s">
        <v>986</v>
      </c>
      <c r="F204" s="52" t="s">
        <v>37</v>
      </c>
      <c r="G204" s="52" t="s">
        <v>1243</v>
      </c>
      <c r="H204" s="52" t="s">
        <v>37</v>
      </c>
      <c r="I204" s="55" t="s">
        <v>1244</v>
      </c>
    </row>
    <row r="205" spans="1:9" ht="16" x14ac:dyDescent="0.2">
      <c r="A205" s="49" t="s">
        <v>576</v>
      </c>
      <c r="B205" s="49" t="s">
        <v>575</v>
      </c>
      <c r="C205" s="50" t="s">
        <v>65</v>
      </c>
      <c r="D205" s="50" t="s">
        <v>36</v>
      </c>
      <c r="E205" s="51" t="s">
        <v>986</v>
      </c>
      <c r="F205" s="52" t="s">
        <v>37</v>
      </c>
      <c r="G205" t="s">
        <v>1245</v>
      </c>
      <c r="H205" s="52" t="s">
        <v>37</v>
      </c>
      <c r="I205" s="55" t="s">
        <v>1246</v>
      </c>
    </row>
    <row r="206" spans="1:9" ht="32" x14ac:dyDescent="0.2">
      <c r="A206" s="49" t="s">
        <v>578</v>
      </c>
      <c r="B206" s="49" t="s">
        <v>579</v>
      </c>
      <c r="C206" s="50" t="s">
        <v>65</v>
      </c>
      <c r="D206" s="50" t="s">
        <v>36</v>
      </c>
      <c r="E206" s="51" t="s">
        <v>986</v>
      </c>
      <c r="G206" s="52"/>
      <c r="H206" s="52"/>
      <c r="I206" s="55" t="s">
        <v>1247</v>
      </c>
    </row>
    <row r="207" spans="1:9" ht="16" x14ac:dyDescent="0.2">
      <c r="A207" s="49" t="s">
        <v>581</v>
      </c>
      <c r="B207" s="49" t="s">
        <v>580</v>
      </c>
      <c r="C207" s="50" t="s">
        <v>65</v>
      </c>
      <c r="D207" s="50" t="s">
        <v>36</v>
      </c>
      <c r="E207" s="51" t="s">
        <v>986</v>
      </c>
      <c r="F207" s="52" t="s">
        <v>37</v>
      </c>
      <c r="G207" s="52" t="s">
        <v>1248</v>
      </c>
      <c r="H207" s="52" t="s">
        <v>37</v>
      </c>
      <c r="I207" s="55" t="s">
        <v>1249</v>
      </c>
    </row>
    <row r="208" spans="1:9" ht="16" x14ac:dyDescent="0.2">
      <c r="A208" s="49" t="s">
        <v>583</v>
      </c>
      <c r="B208" s="49" t="s">
        <v>584</v>
      </c>
      <c r="C208" s="50" t="s">
        <v>905</v>
      </c>
      <c r="D208" s="50" t="s">
        <v>51</v>
      </c>
      <c r="E208" s="51" t="s">
        <v>879</v>
      </c>
      <c r="F208" s="50" t="s">
        <v>37</v>
      </c>
      <c r="G208" t="s">
        <v>1250</v>
      </c>
      <c r="H208" s="50" t="s">
        <v>37</v>
      </c>
      <c r="I208" s="53" t="s">
        <v>1251</v>
      </c>
    </row>
    <row r="209" spans="1:10" ht="16" x14ac:dyDescent="0.2">
      <c r="A209" s="49" t="s">
        <v>586</v>
      </c>
      <c r="B209" s="49" t="s">
        <v>585</v>
      </c>
      <c r="C209" s="50" t="s">
        <v>65</v>
      </c>
      <c r="D209" s="50" t="s">
        <v>36</v>
      </c>
      <c r="E209" s="51" t="s">
        <v>986</v>
      </c>
      <c r="F209" s="52" t="s">
        <v>37</v>
      </c>
      <c r="G209" s="52" t="s">
        <v>1252</v>
      </c>
      <c r="H209" s="52" t="s">
        <v>37</v>
      </c>
      <c r="I209" s="55" t="s">
        <v>1253</v>
      </c>
    </row>
    <row r="210" spans="1:10" ht="16" x14ac:dyDescent="0.2">
      <c r="A210" s="49" t="s">
        <v>588</v>
      </c>
      <c r="B210" s="49" t="s">
        <v>587</v>
      </c>
      <c r="C210" s="50" t="s">
        <v>589</v>
      </c>
      <c r="D210" s="50" t="s">
        <v>36</v>
      </c>
      <c r="E210" s="51" t="s">
        <v>986</v>
      </c>
      <c r="F210" s="52" t="s">
        <v>37</v>
      </c>
      <c r="G210" s="52" t="s">
        <v>1254</v>
      </c>
      <c r="H210" s="52" t="s">
        <v>37</v>
      </c>
      <c r="I210" s="55" t="s">
        <v>1255</v>
      </c>
    </row>
    <row r="211" spans="1:10" ht="16" x14ac:dyDescent="0.2">
      <c r="A211" s="49" t="s">
        <v>591</v>
      </c>
      <c r="B211" s="49" t="s">
        <v>590</v>
      </c>
      <c r="C211" s="50" t="s">
        <v>589</v>
      </c>
      <c r="D211" s="50" t="s">
        <v>36</v>
      </c>
      <c r="E211" s="51" t="s">
        <v>986</v>
      </c>
      <c r="G211" s="52"/>
      <c r="H211" s="52"/>
      <c r="I211" s="55" t="s">
        <v>1256</v>
      </c>
    </row>
    <row r="212" spans="1:10" ht="16" x14ac:dyDescent="0.2">
      <c r="A212" s="49" t="s">
        <v>594</v>
      </c>
      <c r="B212" s="49" t="s">
        <v>593</v>
      </c>
      <c r="C212" s="50" t="s">
        <v>589</v>
      </c>
      <c r="D212" s="50" t="s">
        <v>36</v>
      </c>
      <c r="E212" s="51" t="s">
        <v>986</v>
      </c>
      <c r="G212" s="52"/>
      <c r="H212" s="52"/>
      <c r="I212" s="55" t="s">
        <v>1257</v>
      </c>
    </row>
    <row r="213" spans="1:10" ht="16" x14ac:dyDescent="0.2">
      <c r="A213" s="49" t="s">
        <v>596</v>
      </c>
      <c r="B213" s="49" t="s">
        <v>595</v>
      </c>
      <c r="C213" s="50" t="s">
        <v>589</v>
      </c>
      <c r="D213" s="50" t="s">
        <v>36</v>
      </c>
      <c r="E213" s="51" t="s">
        <v>986</v>
      </c>
      <c r="F213" s="52" t="s">
        <v>37</v>
      </c>
      <c r="G213" s="52" t="s">
        <v>1258</v>
      </c>
      <c r="H213" s="52" t="s">
        <v>37</v>
      </c>
      <c r="I213" s="55" t="s">
        <v>1259</v>
      </c>
    </row>
    <row r="214" spans="1:10" ht="16" x14ac:dyDescent="0.2">
      <c r="A214" s="49" t="s">
        <v>598</v>
      </c>
      <c r="B214" s="49" t="s">
        <v>597</v>
      </c>
      <c r="C214" s="50" t="s">
        <v>589</v>
      </c>
      <c r="D214" s="50" t="s">
        <v>36</v>
      </c>
      <c r="E214" s="51" t="s">
        <v>986</v>
      </c>
      <c r="G214" s="52"/>
      <c r="H214" s="52"/>
      <c r="I214" s="55" t="s">
        <v>1260</v>
      </c>
    </row>
    <row r="215" spans="1:10" ht="16" x14ac:dyDescent="0.2">
      <c r="A215" s="49" t="s">
        <v>600</v>
      </c>
      <c r="B215" s="49" t="s">
        <v>601</v>
      </c>
      <c r="C215" s="50" t="s">
        <v>905</v>
      </c>
      <c r="D215" s="50" t="s">
        <v>51</v>
      </c>
      <c r="E215" s="51" t="s">
        <v>879</v>
      </c>
      <c r="F215" s="50" t="s">
        <v>37</v>
      </c>
      <c r="G215" t="s">
        <v>1261</v>
      </c>
      <c r="H215" s="50" t="s">
        <v>37</v>
      </c>
      <c r="I215" s="53" t="s">
        <v>1262</v>
      </c>
    </row>
    <row r="216" spans="1:10" ht="16" x14ac:dyDescent="0.2">
      <c r="A216" s="49" t="s">
        <v>604</v>
      </c>
      <c r="B216" s="49" t="s">
        <v>603</v>
      </c>
      <c r="C216" s="50" t="s">
        <v>589</v>
      </c>
      <c r="D216" s="50" t="s">
        <v>36</v>
      </c>
      <c r="E216" s="51" t="s">
        <v>986</v>
      </c>
      <c r="G216" s="52"/>
      <c r="H216" s="52"/>
      <c r="I216" s="55" t="s">
        <v>1263</v>
      </c>
    </row>
    <row r="217" spans="1:10" ht="16" x14ac:dyDescent="0.2">
      <c r="A217" s="49" t="s">
        <v>606</v>
      </c>
      <c r="B217" s="49" t="s">
        <v>605</v>
      </c>
      <c r="C217" s="50" t="s">
        <v>589</v>
      </c>
      <c r="D217" s="50" t="s">
        <v>36</v>
      </c>
      <c r="E217" s="51" t="s">
        <v>986</v>
      </c>
      <c r="F217" s="52" t="s">
        <v>37</v>
      </c>
      <c r="G217" s="52" t="s">
        <v>1264</v>
      </c>
      <c r="H217" s="52" t="s">
        <v>37</v>
      </c>
      <c r="I217" s="55" t="s">
        <v>1265</v>
      </c>
    </row>
    <row r="218" spans="1:10" ht="16" x14ac:dyDescent="0.2">
      <c r="A218" s="49" t="s">
        <v>608</v>
      </c>
      <c r="B218" s="49" t="s">
        <v>607</v>
      </c>
      <c r="C218" s="50" t="s">
        <v>57</v>
      </c>
      <c r="D218" s="50" t="s">
        <v>609</v>
      </c>
      <c r="E218" s="51" t="s">
        <v>879</v>
      </c>
      <c r="F218" s="50" t="s">
        <v>37</v>
      </c>
      <c r="G218" s="56" t="s">
        <v>1266</v>
      </c>
      <c r="H218" s="50"/>
      <c r="I218" s="53" t="s">
        <v>1267</v>
      </c>
    </row>
    <row r="219" spans="1:10" ht="16" x14ac:dyDescent="0.2">
      <c r="A219" s="49" t="s">
        <v>612</v>
      </c>
      <c r="B219" s="49" t="s">
        <v>611</v>
      </c>
      <c r="C219" s="50" t="s">
        <v>589</v>
      </c>
      <c r="D219" s="50" t="s">
        <v>36</v>
      </c>
      <c r="E219" s="51" t="s">
        <v>986</v>
      </c>
      <c r="F219" s="52" t="s">
        <v>37</v>
      </c>
      <c r="G219" s="52" t="s">
        <v>1268</v>
      </c>
      <c r="H219" s="52" t="s">
        <v>37</v>
      </c>
      <c r="I219" s="55" t="s">
        <v>1269</v>
      </c>
    </row>
    <row r="220" spans="1:10" ht="16" x14ac:dyDescent="0.2">
      <c r="A220" s="49" t="s">
        <v>614</v>
      </c>
      <c r="B220" s="49" t="s">
        <v>615</v>
      </c>
      <c r="C220" s="50" t="s">
        <v>589</v>
      </c>
      <c r="D220" s="50" t="s">
        <v>36</v>
      </c>
      <c r="E220" s="51" t="s">
        <v>986</v>
      </c>
      <c r="F220" s="52" t="s">
        <v>37</v>
      </c>
      <c r="G220" s="52" t="s">
        <v>1270</v>
      </c>
      <c r="H220" s="52" t="s">
        <v>37</v>
      </c>
      <c r="I220" s="55" t="s">
        <v>1271</v>
      </c>
    </row>
    <row r="221" spans="1:10" ht="16" x14ac:dyDescent="0.2">
      <c r="A221" s="49" t="s">
        <v>617</v>
      </c>
      <c r="B221" s="49" t="s">
        <v>616</v>
      </c>
      <c r="C221" s="50" t="s">
        <v>589</v>
      </c>
      <c r="D221" s="50" t="s">
        <v>36</v>
      </c>
      <c r="E221" s="51" t="s">
        <v>986</v>
      </c>
      <c r="F221" s="52" t="s">
        <v>37</v>
      </c>
      <c r="G221" s="52" t="s">
        <v>1272</v>
      </c>
      <c r="H221" s="52" t="s">
        <v>37</v>
      </c>
      <c r="I221" s="55" t="s">
        <v>1273</v>
      </c>
    </row>
    <row r="222" spans="1:10" ht="16" x14ac:dyDescent="0.2">
      <c r="A222" s="49" t="s">
        <v>619</v>
      </c>
      <c r="B222" s="49" t="s">
        <v>618</v>
      </c>
      <c r="C222" s="50" t="s">
        <v>589</v>
      </c>
      <c r="D222" s="50" t="s">
        <v>36</v>
      </c>
      <c r="E222" s="51" t="s">
        <v>986</v>
      </c>
      <c r="F222" s="52" t="s">
        <v>37</v>
      </c>
      <c r="G222" s="52" t="s">
        <v>1274</v>
      </c>
      <c r="H222" s="52" t="s">
        <v>37</v>
      </c>
      <c r="I222" s="55" t="s">
        <v>1275</v>
      </c>
    </row>
    <row r="223" spans="1:10" ht="16" x14ac:dyDescent="0.2">
      <c r="A223" s="49" t="s">
        <v>621</v>
      </c>
      <c r="B223" s="49" t="s">
        <v>620</v>
      </c>
      <c r="C223" s="50" t="s">
        <v>65</v>
      </c>
      <c r="D223" s="50" t="s">
        <v>51</v>
      </c>
      <c r="E223" s="51" t="s">
        <v>879</v>
      </c>
      <c r="F223" s="50" t="s">
        <v>880</v>
      </c>
      <c r="G223" s="56" t="s">
        <v>1011</v>
      </c>
      <c r="H223" s="50"/>
      <c r="I223" s="53" t="s">
        <v>1276</v>
      </c>
      <c r="J223" t="s">
        <v>1056</v>
      </c>
    </row>
    <row r="224" spans="1:10" ht="16" x14ac:dyDescent="0.2">
      <c r="A224" s="49" t="s">
        <v>623</v>
      </c>
      <c r="B224" s="49" t="s">
        <v>622</v>
      </c>
      <c r="C224" s="50" t="s">
        <v>589</v>
      </c>
      <c r="D224" s="50" t="s">
        <v>36</v>
      </c>
      <c r="E224" s="51" t="s">
        <v>986</v>
      </c>
      <c r="F224" s="52" t="s">
        <v>37</v>
      </c>
      <c r="G224" s="52" t="s">
        <v>1277</v>
      </c>
      <c r="H224" s="52" t="s">
        <v>37</v>
      </c>
      <c r="I224" s="55" t="s">
        <v>1278</v>
      </c>
    </row>
    <row r="225" spans="1:10" ht="16" x14ac:dyDescent="0.2">
      <c r="A225" s="49" t="s">
        <v>625</v>
      </c>
      <c r="B225" s="49" t="s">
        <v>624</v>
      </c>
      <c r="C225" s="50" t="s">
        <v>905</v>
      </c>
      <c r="D225" s="50" t="s">
        <v>51</v>
      </c>
      <c r="E225" s="51" t="s">
        <v>879</v>
      </c>
      <c r="F225" s="50" t="s">
        <v>37</v>
      </c>
      <c r="G225" t="s">
        <v>1279</v>
      </c>
      <c r="H225" s="50" t="s">
        <v>37</v>
      </c>
      <c r="I225" s="53" t="s">
        <v>1280</v>
      </c>
    </row>
    <row r="226" spans="1:10" ht="16" x14ac:dyDescent="0.2">
      <c r="A226" s="49" t="s">
        <v>627</v>
      </c>
      <c r="B226" s="49" t="s">
        <v>628</v>
      </c>
      <c r="C226" s="50" t="s">
        <v>65</v>
      </c>
      <c r="D226" s="50" t="s">
        <v>51</v>
      </c>
      <c r="E226" s="51" t="s">
        <v>879</v>
      </c>
      <c r="F226" s="50" t="s">
        <v>880</v>
      </c>
      <c r="G226" s="56" t="s">
        <v>1281</v>
      </c>
      <c r="H226" s="50"/>
      <c r="I226" s="53" t="s">
        <v>1282</v>
      </c>
      <c r="J226" t="s">
        <v>1283</v>
      </c>
    </row>
    <row r="227" spans="1:10" ht="16" x14ac:dyDescent="0.2">
      <c r="A227" s="49" t="s">
        <v>631</v>
      </c>
      <c r="B227" s="49" t="s">
        <v>630</v>
      </c>
      <c r="C227" s="50" t="s">
        <v>57</v>
      </c>
      <c r="D227" s="50" t="s">
        <v>51</v>
      </c>
      <c r="E227" s="51" t="s">
        <v>879</v>
      </c>
      <c r="G227" s="58" t="s">
        <v>66</v>
      </c>
      <c r="H227" s="50"/>
      <c r="I227" s="51" t="s">
        <v>66</v>
      </c>
    </row>
    <row r="228" spans="1:10" ht="32" x14ac:dyDescent="0.2">
      <c r="A228" s="49" t="s">
        <v>633</v>
      </c>
      <c r="B228" s="49" t="s">
        <v>634</v>
      </c>
      <c r="C228" s="50" t="s">
        <v>57</v>
      </c>
      <c r="D228" s="50" t="s">
        <v>51</v>
      </c>
      <c r="E228" s="51" t="s">
        <v>879</v>
      </c>
      <c r="F228" s="50" t="s">
        <v>883</v>
      </c>
      <c r="H228" s="50"/>
      <c r="I228" s="51" t="s">
        <v>1284</v>
      </c>
    </row>
    <row r="229" spans="1:10" ht="32" x14ac:dyDescent="0.2">
      <c r="A229" s="49" t="s">
        <v>636</v>
      </c>
      <c r="B229" s="49" t="s">
        <v>637</v>
      </c>
      <c r="C229" s="50" t="s">
        <v>65</v>
      </c>
      <c r="D229" s="50" t="s">
        <v>51</v>
      </c>
      <c r="E229" s="51" t="s">
        <v>879</v>
      </c>
      <c r="F229" s="50" t="s">
        <v>880</v>
      </c>
      <c r="G229" s="56" t="s">
        <v>1285</v>
      </c>
      <c r="H229" s="50"/>
      <c r="I229" s="53" t="s">
        <v>1286</v>
      </c>
    </row>
    <row r="230" spans="1:10" ht="16" x14ac:dyDescent="0.2">
      <c r="A230" s="49" t="s">
        <v>639</v>
      </c>
      <c r="B230" s="49" t="s">
        <v>638</v>
      </c>
      <c r="C230" s="50" t="s">
        <v>905</v>
      </c>
      <c r="D230" s="50" t="s">
        <v>51</v>
      </c>
      <c r="E230" s="51" t="s">
        <v>879</v>
      </c>
      <c r="F230" s="50"/>
      <c r="G230" s="59" t="s">
        <v>66</v>
      </c>
      <c r="H230" s="50"/>
      <c r="I230" s="51" t="s">
        <v>66</v>
      </c>
    </row>
    <row r="231" spans="1:10" ht="16" x14ac:dyDescent="0.2">
      <c r="A231" s="49" t="s">
        <v>641</v>
      </c>
      <c r="B231" s="49" t="s">
        <v>642</v>
      </c>
      <c r="C231" s="50" t="s">
        <v>35</v>
      </c>
      <c r="D231" s="50" t="s">
        <v>51</v>
      </c>
      <c r="E231" s="51" t="s">
        <v>879</v>
      </c>
      <c r="F231" s="50"/>
      <c r="G231" s="58" t="s">
        <v>1287</v>
      </c>
      <c r="H231" s="50"/>
      <c r="I231" s="51"/>
    </row>
    <row r="232" spans="1:10" ht="16" x14ac:dyDescent="0.2">
      <c r="A232" s="49" t="s">
        <v>644</v>
      </c>
      <c r="B232" s="49" t="s">
        <v>645</v>
      </c>
      <c r="C232" s="50" t="s">
        <v>57</v>
      </c>
      <c r="D232" s="50" t="s">
        <v>51</v>
      </c>
      <c r="E232" s="51" t="s">
        <v>879</v>
      </c>
      <c r="F232" s="50" t="s">
        <v>37</v>
      </c>
      <c r="G232" s="58" t="s">
        <v>1288</v>
      </c>
      <c r="H232" s="50"/>
      <c r="I232" s="53" t="s">
        <v>1289</v>
      </c>
    </row>
    <row r="233" spans="1:10" ht="16" x14ac:dyDescent="0.2">
      <c r="A233" s="49" t="s">
        <v>647</v>
      </c>
      <c r="B233" s="49" t="s">
        <v>646</v>
      </c>
      <c r="C233" s="50" t="s">
        <v>589</v>
      </c>
      <c r="D233" s="50" t="s">
        <v>36</v>
      </c>
      <c r="E233" s="51" t="s">
        <v>986</v>
      </c>
      <c r="F233" s="52" t="s">
        <v>37</v>
      </c>
      <c r="G233" s="52" t="s">
        <v>1290</v>
      </c>
      <c r="H233" s="52" t="s">
        <v>37</v>
      </c>
      <c r="I233" s="55" t="s">
        <v>1291</v>
      </c>
    </row>
    <row r="234" spans="1:10" ht="16" x14ac:dyDescent="0.2">
      <c r="A234" s="49" t="s">
        <v>649</v>
      </c>
      <c r="B234" s="49" t="s">
        <v>650</v>
      </c>
      <c r="C234" s="50" t="s">
        <v>589</v>
      </c>
      <c r="D234" s="50" t="s">
        <v>36</v>
      </c>
      <c r="E234" s="51" t="s">
        <v>986</v>
      </c>
      <c r="F234" s="52" t="s">
        <v>37</v>
      </c>
      <c r="G234" s="52" t="s">
        <v>1292</v>
      </c>
      <c r="H234" s="52" t="s">
        <v>37</v>
      </c>
      <c r="I234" s="55" t="s">
        <v>1293</v>
      </c>
    </row>
    <row r="235" spans="1:10" ht="16" x14ac:dyDescent="0.2">
      <c r="A235" s="49" t="s">
        <v>652</v>
      </c>
      <c r="B235" s="49" t="s">
        <v>653</v>
      </c>
      <c r="C235" s="50" t="s">
        <v>65</v>
      </c>
      <c r="D235" s="50" t="s">
        <v>51</v>
      </c>
      <c r="E235" s="51" t="s">
        <v>879</v>
      </c>
      <c r="F235" s="50" t="s">
        <v>880</v>
      </c>
      <c r="G235" s="56" t="s">
        <v>1294</v>
      </c>
      <c r="H235" s="50"/>
      <c r="I235" s="53" t="s">
        <v>1295</v>
      </c>
    </row>
    <row r="236" spans="1:10" ht="16" x14ac:dyDescent="0.2">
      <c r="A236" s="49" t="s">
        <v>655</v>
      </c>
      <c r="B236" s="49" t="s">
        <v>654</v>
      </c>
      <c r="C236" s="50" t="s">
        <v>905</v>
      </c>
      <c r="D236" s="50" t="s">
        <v>51</v>
      </c>
      <c r="E236" s="51" t="s">
        <v>879</v>
      </c>
      <c r="F236" s="50" t="s">
        <v>37</v>
      </c>
      <c r="G236" t="s">
        <v>1296</v>
      </c>
      <c r="H236" s="50" t="s">
        <v>37</v>
      </c>
      <c r="I236" s="53" t="s">
        <v>1297</v>
      </c>
    </row>
    <row r="237" spans="1:10" ht="48" x14ac:dyDescent="0.2">
      <c r="A237" s="49" t="s">
        <v>657</v>
      </c>
      <c r="B237" s="49" t="s">
        <v>658</v>
      </c>
      <c r="C237" s="50" t="s">
        <v>57</v>
      </c>
      <c r="D237" s="50" t="s">
        <v>51</v>
      </c>
      <c r="E237" s="51" t="s">
        <v>879</v>
      </c>
      <c r="F237" s="50" t="s">
        <v>37</v>
      </c>
      <c r="G237" s="56" t="s">
        <v>1298</v>
      </c>
      <c r="H237" s="50"/>
      <c r="I237" s="53"/>
    </row>
    <row r="238" spans="1:10" ht="16" x14ac:dyDescent="0.2">
      <c r="A238" s="49" t="s">
        <v>660</v>
      </c>
      <c r="B238" s="49" t="s">
        <v>659</v>
      </c>
      <c r="C238" s="50" t="s">
        <v>589</v>
      </c>
      <c r="D238" s="50" t="s">
        <v>36</v>
      </c>
      <c r="E238" s="51" t="s">
        <v>986</v>
      </c>
      <c r="F238" s="52" t="s">
        <v>37</v>
      </c>
      <c r="G238" s="52" t="s">
        <v>1299</v>
      </c>
      <c r="H238" s="52" t="s">
        <v>37</v>
      </c>
      <c r="I238" s="55" t="s">
        <v>1300</v>
      </c>
    </row>
    <row r="239" spans="1:10" ht="16" x14ac:dyDescent="0.2">
      <c r="A239" s="49" t="s">
        <v>662</v>
      </c>
      <c r="B239" s="49" t="s">
        <v>663</v>
      </c>
      <c r="C239" s="50" t="s">
        <v>905</v>
      </c>
      <c r="D239" s="50" t="s">
        <v>51</v>
      </c>
      <c r="E239" s="51" t="s">
        <v>879</v>
      </c>
      <c r="F239" s="50" t="s">
        <v>37</v>
      </c>
      <c r="G239" t="s">
        <v>1301</v>
      </c>
      <c r="H239" s="50" t="s">
        <v>37</v>
      </c>
      <c r="I239" s="54" t="s">
        <v>1302</v>
      </c>
    </row>
    <row r="240" spans="1:10" ht="16" x14ac:dyDescent="0.2">
      <c r="A240" s="49" t="s">
        <v>665</v>
      </c>
      <c r="B240" s="49" t="s">
        <v>664</v>
      </c>
      <c r="C240" s="50" t="s">
        <v>589</v>
      </c>
      <c r="D240" s="50" t="s">
        <v>36</v>
      </c>
      <c r="E240" s="51" t="s">
        <v>986</v>
      </c>
      <c r="F240" s="52" t="s">
        <v>37</v>
      </c>
      <c r="G240" s="52" t="s">
        <v>1303</v>
      </c>
      <c r="H240" s="52" t="s">
        <v>37</v>
      </c>
      <c r="I240" s="55" t="s">
        <v>1304</v>
      </c>
    </row>
    <row r="241" spans="1:10" ht="16" x14ac:dyDescent="0.2">
      <c r="A241" s="49" t="s">
        <v>667</v>
      </c>
      <c r="B241" s="49" t="s">
        <v>666</v>
      </c>
      <c r="C241" s="50" t="s">
        <v>589</v>
      </c>
      <c r="D241" s="50" t="s">
        <v>36</v>
      </c>
      <c r="E241" s="51" t="s">
        <v>986</v>
      </c>
      <c r="F241" s="52" t="s">
        <v>37</v>
      </c>
      <c r="G241" s="52" t="s">
        <v>1305</v>
      </c>
      <c r="H241" s="52" t="s">
        <v>37</v>
      </c>
      <c r="I241" s="55" t="s">
        <v>1306</v>
      </c>
    </row>
    <row r="242" spans="1:10" ht="16" x14ac:dyDescent="0.2">
      <c r="A242" s="49" t="s">
        <v>669</v>
      </c>
      <c r="B242" s="49" t="s">
        <v>670</v>
      </c>
      <c r="C242" s="50" t="s">
        <v>65</v>
      </c>
      <c r="D242" s="50" t="s">
        <v>51</v>
      </c>
      <c r="E242" s="51" t="s">
        <v>879</v>
      </c>
      <c r="F242" s="50" t="s">
        <v>880</v>
      </c>
      <c r="G242" s="56" t="s">
        <v>1307</v>
      </c>
      <c r="H242" s="50"/>
      <c r="I242" s="53" t="s">
        <v>1308</v>
      </c>
      <c r="J242" t="s">
        <v>1134</v>
      </c>
    </row>
    <row r="243" spans="1:10" ht="16" x14ac:dyDescent="0.2">
      <c r="A243" s="49" t="s">
        <v>672</v>
      </c>
      <c r="B243" s="49" t="s">
        <v>671</v>
      </c>
      <c r="C243" s="50" t="s">
        <v>589</v>
      </c>
      <c r="D243" s="50" t="s">
        <v>36</v>
      </c>
      <c r="E243" s="51" t="s">
        <v>986</v>
      </c>
      <c r="F243" s="52"/>
      <c r="H243" s="52"/>
      <c r="I243" s="55" t="s">
        <v>1309</v>
      </c>
    </row>
    <row r="244" spans="1:10" ht="16" x14ac:dyDescent="0.2">
      <c r="A244" s="49" t="s">
        <v>674</v>
      </c>
      <c r="B244" s="49" t="s">
        <v>675</v>
      </c>
      <c r="C244" s="50" t="s">
        <v>905</v>
      </c>
      <c r="D244" s="50" t="s">
        <v>51</v>
      </c>
      <c r="E244" s="51" t="s">
        <v>879</v>
      </c>
      <c r="F244" s="50" t="s">
        <v>37</v>
      </c>
      <c r="G244" t="s">
        <v>1310</v>
      </c>
      <c r="H244" s="50" t="s">
        <v>37</v>
      </c>
      <c r="I244" s="53" t="s">
        <v>1311</v>
      </c>
    </row>
    <row r="245" spans="1:10" ht="16" x14ac:dyDescent="0.2">
      <c r="A245" s="49" t="s">
        <v>677</v>
      </c>
      <c r="B245" s="49" t="s">
        <v>678</v>
      </c>
      <c r="C245" s="50" t="s">
        <v>905</v>
      </c>
      <c r="D245" s="50" t="s">
        <v>51</v>
      </c>
      <c r="E245" s="51" t="s">
        <v>879</v>
      </c>
      <c r="F245" s="50" t="s">
        <v>37</v>
      </c>
      <c r="G245" t="s">
        <v>1312</v>
      </c>
      <c r="H245" s="50" t="s">
        <v>37</v>
      </c>
      <c r="I245" s="54" t="s">
        <v>1313</v>
      </c>
    </row>
    <row r="246" spans="1:10" ht="16" x14ac:dyDescent="0.2">
      <c r="A246" s="49" t="s">
        <v>680</v>
      </c>
      <c r="B246" s="49" t="s">
        <v>681</v>
      </c>
      <c r="C246" s="50" t="s">
        <v>905</v>
      </c>
      <c r="D246" s="50" t="s">
        <v>51</v>
      </c>
      <c r="E246" s="51" t="s">
        <v>879</v>
      </c>
      <c r="F246" s="50" t="s">
        <v>37</v>
      </c>
      <c r="G246" t="s">
        <v>1314</v>
      </c>
      <c r="H246" s="50" t="s">
        <v>37</v>
      </c>
      <c r="I246" s="54" t="s">
        <v>1315</v>
      </c>
    </row>
    <row r="247" spans="1:10" ht="32" x14ac:dyDescent="0.2">
      <c r="A247" s="49" t="s">
        <v>683</v>
      </c>
      <c r="B247" s="49" t="s">
        <v>684</v>
      </c>
      <c r="C247" s="50" t="s">
        <v>65</v>
      </c>
      <c r="D247" s="50" t="s">
        <v>51</v>
      </c>
      <c r="E247" s="51" t="s">
        <v>879</v>
      </c>
      <c r="F247" s="50" t="s">
        <v>880</v>
      </c>
      <c r="G247" s="56" t="s">
        <v>1316</v>
      </c>
      <c r="H247" s="50"/>
      <c r="I247" s="53" t="s">
        <v>1317</v>
      </c>
      <c r="J247" t="s">
        <v>1134</v>
      </c>
    </row>
    <row r="248" spans="1:10" ht="16" x14ac:dyDescent="0.2">
      <c r="A248" s="49" t="s">
        <v>686</v>
      </c>
      <c r="B248" s="49" t="s">
        <v>685</v>
      </c>
      <c r="C248" s="50" t="s">
        <v>65</v>
      </c>
      <c r="D248" s="50" t="s">
        <v>36</v>
      </c>
      <c r="E248" s="51" t="s">
        <v>986</v>
      </c>
      <c r="F248" s="52" t="s">
        <v>37</v>
      </c>
      <c r="G248" s="52" t="s">
        <v>1318</v>
      </c>
      <c r="H248" s="52" t="s">
        <v>37</v>
      </c>
      <c r="I248" s="55" t="s">
        <v>1319</v>
      </c>
    </row>
    <row r="249" spans="1:10" ht="16" x14ac:dyDescent="0.2">
      <c r="A249" s="49" t="s">
        <v>688</v>
      </c>
      <c r="B249" s="49" t="s">
        <v>687</v>
      </c>
      <c r="C249" s="50" t="s">
        <v>905</v>
      </c>
      <c r="D249" s="50" t="s">
        <v>51</v>
      </c>
      <c r="E249" s="51" t="s">
        <v>879</v>
      </c>
      <c r="G249" s="61" t="s">
        <v>66</v>
      </c>
      <c r="H249" s="50"/>
      <c r="I249" s="52" t="s">
        <v>66</v>
      </c>
    </row>
    <row r="250" spans="1:10" ht="16" x14ac:dyDescent="0.2">
      <c r="A250" s="49" t="s">
        <v>690</v>
      </c>
      <c r="B250" s="49" t="s">
        <v>691</v>
      </c>
      <c r="C250" s="50" t="s">
        <v>65</v>
      </c>
      <c r="D250" s="50" t="s">
        <v>36</v>
      </c>
      <c r="E250" s="51" t="s">
        <v>986</v>
      </c>
      <c r="F250" s="52" t="s">
        <v>37</v>
      </c>
      <c r="G250" s="52" t="s">
        <v>1320</v>
      </c>
      <c r="H250" s="52" t="s">
        <v>37</v>
      </c>
      <c r="I250" s="55" t="s">
        <v>1321</v>
      </c>
    </row>
    <row r="251" spans="1:10" ht="16" x14ac:dyDescent="0.2">
      <c r="A251" s="49" t="s">
        <v>693</v>
      </c>
      <c r="B251" s="49" t="s">
        <v>694</v>
      </c>
      <c r="C251" s="50" t="s">
        <v>57</v>
      </c>
      <c r="D251" s="50" t="s">
        <v>51</v>
      </c>
      <c r="E251" s="51" t="s">
        <v>879</v>
      </c>
      <c r="F251" s="50" t="s">
        <v>37</v>
      </c>
      <c r="G251" s="56" t="s">
        <v>1322</v>
      </c>
      <c r="H251" s="50"/>
      <c r="I251" s="53" t="s">
        <v>1323</v>
      </c>
    </row>
    <row r="252" spans="1:10" ht="16" x14ac:dyDescent="0.2">
      <c r="A252" s="49" t="s">
        <v>696</v>
      </c>
      <c r="B252" s="49" t="s">
        <v>695</v>
      </c>
      <c r="C252" s="50" t="s">
        <v>65</v>
      </c>
      <c r="D252" s="50" t="s">
        <v>36</v>
      </c>
      <c r="E252" s="51" t="s">
        <v>986</v>
      </c>
      <c r="F252" s="52"/>
      <c r="G252" s="60" t="s">
        <v>1287</v>
      </c>
      <c r="H252" s="52"/>
      <c r="I252" s="55" t="s">
        <v>1324</v>
      </c>
    </row>
    <row r="253" spans="1:10" ht="16" x14ac:dyDescent="0.2">
      <c r="A253" s="49" t="s">
        <v>698</v>
      </c>
      <c r="B253" s="49" t="s">
        <v>699</v>
      </c>
      <c r="C253" s="50" t="s">
        <v>57</v>
      </c>
      <c r="D253" s="50" t="s">
        <v>51</v>
      </c>
      <c r="E253" s="51" t="s">
        <v>879</v>
      </c>
      <c r="F253" s="50" t="s">
        <v>880</v>
      </c>
      <c r="G253" s="58" t="s">
        <v>1325</v>
      </c>
      <c r="H253" s="50"/>
      <c r="I253" s="53" t="s">
        <v>1326</v>
      </c>
    </row>
    <row r="254" spans="1:10" ht="32" x14ac:dyDescent="0.2">
      <c r="A254" s="49" t="s">
        <v>701</v>
      </c>
      <c r="B254" s="49" t="s">
        <v>702</v>
      </c>
      <c r="C254" s="50" t="s">
        <v>65</v>
      </c>
      <c r="D254" s="50" t="s">
        <v>51</v>
      </c>
      <c r="E254" s="51" t="s">
        <v>879</v>
      </c>
      <c r="F254" s="50" t="s">
        <v>880</v>
      </c>
      <c r="G254" s="58" t="s">
        <v>1327</v>
      </c>
      <c r="H254" s="50"/>
      <c r="I254" s="53" t="s">
        <v>1328</v>
      </c>
    </row>
    <row r="255" spans="1:10" ht="16" x14ac:dyDescent="0.2">
      <c r="A255" s="49" t="s">
        <v>704</v>
      </c>
      <c r="B255" s="49" t="s">
        <v>705</v>
      </c>
      <c r="C255" s="50" t="s">
        <v>905</v>
      </c>
      <c r="D255" s="50" t="s">
        <v>51</v>
      </c>
      <c r="E255" s="51" t="s">
        <v>879</v>
      </c>
      <c r="F255" s="50" t="s">
        <v>37</v>
      </c>
      <c r="G255" t="s">
        <v>1329</v>
      </c>
      <c r="H255" s="50" t="s">
        <v>37</v>
      </c>
      <c r="I255" s="54" t="s">
        <v>1330</v>
      </c>
    </row>
    <row r="256" spans="1:10" ht="16" x14ac:dyDescent="0.2">
      <c r="A256" s="49" t="s">
        <v>707</v>
      </c>
      <c r="B256" s="49" t="s">
        <v>706</v>
      </c>
      <c r="C256" s="50" t="s">
        <v>57</v>
      </c>
      <c r="D256" s="50" t="s">
        <v>51</v>
      </c>
      <c r="E256" s="51" t="s">
        <v>879</v>
      </c>
      <c r="F256" s="50" t="s">
        <v>37</v>
      </c>
      <c r="G256" s="56" t="s">
        <v>1331</v>
      </c>
      <c r="H256" s="50"/>
      <c r="I256" s="53" t="s">
        <v>1332</v>
      </c>
    </row>
    <row r="257" spans="1:9" ht="16" x14ac:dyDescent="0.2">
      <c r="A257" s="49" t="s">
        <v>709</v>
      </c>
      <c r="B257" s="49" t="s">
        <v>710</v>
      </c>
      <c r="C257" s="50" t="s">
        <v>57</v>
      </c>
      <c r="D257" s="50" t="s">
        <v>51</v>
      </c>
      <c r="E257" s="51" t="s">
        <v>879</v>
      </c>
      <c r="F257" s="50" t="s">
        <v>37</v>
      </c>
      <c r="G257" s="58" t="s">
        <v>1333</v>
      </c>
      <c r="H257" s="50"/>
      <c r="I257" s="53" t="s">
        <v>1334</v>
      </c>
    </row>
    <row r="258" spans="1:9" ht="16" x14ac:dyDescent="0.2">
      <c r="A258" s="49" t="s">
        <v>712</v>
      </c>
      <c r="B258" s="49" t="s">
        <v>711</v>
      </c>
      <c r="C258" s="50" t="s">
        <v>905</v>
      </c>
      <c r="D258" s="50" t="s">
        <v>51</v>
      </c>
      <c r="E258" s="51" t="s">
        <v>879</v>
      </c>
      <c r="F258" s="50" t="s">
        <v>37</v>
      </c>
      <c r="G258" t="s">
        <v>1335</v>
      </c>
      <c r="H258" s="50" t="s">
        <v>37</v>
      </c>
      <c r="I258" s="54" t="s">
        <v>1336</v>
      </c>
    </row>
    <row r="259" spans="1:9" ht="16" x14ac:dyDescent="0.2">
      <c r="A259" s="49" t="s">
        <v>714</v>
      </c>
      <c r="B259" s="49" t="s">
        <v>713</v>
      </c>
      <c r="C259" s="50" t="s">
        <v>65</v>
      </c>
      <c r="D259" s="50" t="s">
        <v>36</v>
      </c>
      <c r="E259" s="51" t="s">
        <v>986</v>
      </c>
      <c r="F259" s="52"/>
      <c r="H259" s="52"/>
      <c r="I259" s="55" t="s">
        <v>1337</v>
      </c>
    </row>
    <row r="260" spans="1:9" ht="16" x14ac:dyDescent="0.2">
      <c r="A260" s="49" t="s">
        <v>716</v>
      </c>
      <c r="B260" s="49" t="s">
        <v>717</v>
      </c>
      <c r="C260" s="50" t="s">
        <v>905</v>
      </c>
      <c r="D260" s="50" t="s">
        <v>51</v>
      </c>
      <c r="E260" s="51" t="s">
        <v>879</v>
      </c>
      <c r="F260" s="50" t="s">
        <v>37</v>
      </c>
      <c r="G260" t="s">
        <v>1338</v>
      </c>
      <c r="H260" s="50" t="s">
        <v>37</v>
      </c>
      <c r="I260" s="53" t="s">
        <v>1339</v>
      </c>
    </row>
    <row r="261" spans="1:9" ht="16" x14ac:dyDescent="0.2">
      <c r="A261" s="49" t="s">
        <v>719</v>
      </c>
      <c r="B261" s="49" t="s">
        <v>718</v>
      </c>
      <c r="C261" s="50" t="s">
        <v>65</v>
      </c>
      <c r="D261" s="50" t="s">
        <v>36</v>
      </c>
      <c r="E261" s="51" t="s">
        <v>986</v>
      </c>
      <c r="F261" s="52" t="s">
        <v>37</v>
      </c>
      <c r="G261" s="52" t="s">
        <v>1340</v>
      </c>
      <c r="H261" s="52" t="s">
        <v>37</v>
      </c>
      <c r="I261" s="55" t="s">
        <v>1341</v>
      </c>
    </row>
    <row r="262" spans="1:9" ht="16" x14ac:dyDescent="0.2">
      <c r="A262" s="49" t="s">
        <v>721</v>
      </c>
      <c r="B262" s="49" t="s">
        <v>720</v>
      </c>
      <c r="C262" s="50" t="s">
        <v>65</v>
      </c>
      <c r="D262" s="50" t="s">
        <v>36</v>
      </c>
      <c r="E262" s="51" t="s">
        <v>986</v>
      </c>
      <c r="F262" s="52" t="s">
        <v>37</v>
      </c>
      <c r="G262" s="52" t="s">
        <v>1342</v>
      </c>
      <c r="H262" s="52" t="s">
        <v>37</v>
      </c>
      <c r="I262" s="55" t="s">
        <v>1343</v>
      </c>
    </row>
    <row r="263" spans="1:9" ht="16" x14ac:dyDescent="0.2">
      <c r="A263" s="49" t="s">
        <v>723</v>
      </c>
      <c r="B263" s="49" t="s">
        <v>724</v>
      </c>
      <c r="C263" s="50" t="s">
        <v>589</v>
      </c>
      <c r="D263" s="50" t="s">
        <v>36</v>
      </c>
      <c r="E263" s="51" t="s">
        <v>986</v>
      </c>
      <c r="F263" s="52" t="s">
        <v>37</v>
      </c>
      <c r="G263" s="52" t="s">
        <v>1344</v>
      </c>
      <c r="H263" s="52" t="s">
        <v>37</v>
      </c>
      <c r="I263" s="55" t="s">
        <v>1345</v>
      </c>
    </row>
    <row r="264" spans="1:9" ht="16" x14ac:dyDescent="0.2">
      <c r="A264" s="49" t="s">
        <v>726</v>
      </c>
      <c r="B264" s="49" t="s">
        <v>727</v>
      </c>
      <c r="C264" s="50" t="s">
        <v>65</v>
      </c>
      <c r="D264" s="50" t="s">
        <v>36</v>
      </c>
      <c r="E264" s="51" t="s">
        <v>986</v>
      </c>
      <c r="F264" s="52" t="s">
        <v>37</v>
      </c>
      <c r="G264" s="52" t="s">
        <v>1346</v>
      </c>
      <c r="H264" s="52" t="s">
        <v>37</v>
      </c>
      <c r="I264" s="55" t="s">
        <v>1347</v>
      </c>
    </row>
    <row r="265" spans="1:9" ht="16" x14ac:dyDescent="0.2">
      <c r="A265" s="49" t="s">
        <v>729</v>
      </c>
      <c r="B265" s="49" t="s">
        <v>728</v>
      </c>
      <c r="C265" s="50" t="s">
        <v>65</v>
      </c>
      <c r="D265" s="50" t="s">
        <v>36</v>
      </c>
      <c r="E265" s="51" t="s">
        <v>986</v>
      </c>
      <c r="F265" s="52" t="s">
        <v>37</v>
      </c>
      <c r="G265" s="52" t="s">
        <v>1348</v>
      </c>
      <c r="H265" s="52" t="s">
        <v>37</v>
      </c>
      <c r="I265" s="55" t="s">
        <v>1349</v>
      </c>
    </row>
    <row r="266" spans="1:9" ht="16" x14ac:dyDescent="0.2">
      <c r="A266" s="49" t="s">
        <v>731</v>
      </c>
      <c r="B266" s="49" t="s">
        <v>730</v>
      </c>
      <c r="C266" s="50" t="s">
        <v>65</v>
      </c>
      <c r="D266" s="50" t="s">
        <v>36</v>
      </c>
      <c r="E266" s="51" t="s">
        <v>986</v>
      </c>
      <c r="G266" s="52"/>
      <c r="H266" s="52"/>
      <c r="I266" s="55" t="s">
        <v>1350</v>
      </c>
    </row>
    <row r="267" spans="1:9" ht="16" x14ac:dyDescent="0.2">
      <c r="A267" s="49" t="s">
        <v>733</v>
      </c>
      <c r="B267" s="49" t="s">
        <v>734</v>
      </c>
      <c r="C267" s="50" t="s">
        <v>65</v>
      </c>
      <c r="D267" s="50" t="s">
        <v>36</v>
      </c>
      <c r="E267" s="51" t="s">
        <v>986</v>
      </c>
      <c r="F267" s="52" t="s">
        <v>37</v>
      </c>
      <c r="G267" s="52" t="s">
        <v>1351</v>
      </c>
      <c r="H267" s="52" t="s">
        <v>37</v>
      </c>
      <c r="I267" s="55" t="s">
        <v>1352</v>
      </c>
    </row>
    <row r="268" spans="1:9" ht="16" x14ac:dyDescent="0.2">
      <c r="A268" s="49" t="s">
        <v>736</v>
      </c>
      <c r="B268" s="49" t="s">
        <v>737</v>
      </c>
      <c r="C268" s="50" t="s">
        <v>65</v>
      </c>
      <c r="D268" s="50" t="s">
        <v>36</v>
      </c>
      <c r="E268" s="51" t="s">
        <v>986</v>
      </c>
      <c r="G268" s="52"/>
      <c r="H268" s="52"/>
      <c r="I268" s="55" t="s">
        <v>1353</v>
      </c>
    </row>
    <row r="269" spans="1:9" ht="16" x14ac:dyDescent="0.2">
      <c r="A269" s="49" t="s">
        <v>739</v>
      </c>
      <c r="B269" s="49" t="s">
        <v>740</v>
      </c>
      <c r="C269" s="50" t="s">
        <v>589</v>
      </c>
      <c r="D269" s="50" t="s">
        <v>1354</v>
      </c>
      <c r="E269" s="51" t="s">
        <v>879</v>
      </c>
      <c r="F269" s="50" t="s">
        <v>880</v>
      </c>
      <c r="G269" s="56" t="s">
        <v>1355</v>
      </c>
      <c r="H269" s="50"/>
      <c r="I269" s="53" t="s">
        <v>1356</v>
      </c>
    </row>
    <row r="270" spans="1:9" ht="16" x14ac:dyDescent="0.2">
      <c r="A270" s="49" t="s">
        <v>742</v>
      </c>
      <c r="B270" s="49" t="s">
        <v>743</v>
      </c>
      <c r="C270" s="50" t="s">
        <v>589</v>
      </c>
      <c r="D270" s="50" t="s">
        <v>1354</v>
      </c>
      <c r="E270" s="51" t="s">
        <v>879</v>
      </c>
      <c r="F270" s="50" t="s">
        <v>880</v>
      </c>
      <c r="G270" s="58" t="s">
        <v>1357</v>
      </c>
      <c r="H270" s="50"/>
      <c r="I270" s="53" t="s">
        <v>1358</v>
      </c>
    </row>
    <row r="271" spans="1:9" ht="16" x14ac:dyDescent="0.2">
      <c r="A271" s="49" t="s">
        <v>745</v>
      </c>
      <c r="B271" s="49" t="s">
        <v>744</v>
      </c>
      <c r="C271" s="50" t="s">
        <v>65</v>
      </c>
      <c r="D271" s="50" t="s">
        <v>36</v>
      </c>
      <c r="E271" s="51" t="s">
        <v>986</v>
      </c>
      <c r="F271" s="52" t="s">
        <v>37</v>
      </c>
      <c r="G271" s="52" t="s">
        <v>1359</v>
      </c>
      <c r="H271" s="52" t="s">
        <v>37</v>
      </c>
      <c r="I271" s="55" t="s">
        <v>1360</v>
      </c>
    </row>
    <row r="272" spans="1:9" ht="16" x14ac:dyDescent="0.2">
      <c r="A272" s="49" t="s">
        <v>747</v>
      </c>
      <c r="B272" s="49" t="s">
        <v>746</v>
      </c>
      <c r="C272" s="50" t="s">
        <v>589</v>
      </c>
      <c r="D272" s="50" t="s">
        <v>1361</v>
      </c>
      <c r="E272" s="51" t="s">
        <v>1362</v>
      </c>
      <c r="F272" t="s">
        <v>37</v>
      </c>
      <c r="G272" s="52" t="s">
        <v>1363</v>
      </c>
      <c r="H272" s="52" t="s">
        <v>37</v>
      </c>
      <c r="I272" s="55" t="s">
        <v>1364</v>
      </c>
    </row>
    <row r="273" spans="1:9" ht="16" x14ac:dyDescent="0.2">
      <c r="A273" s="49" t="s">
        <v>749</v>
      </c>
      <c r="B273" s="49" t="s">
        <v>750</v>
      </c>
      <c r="C273" s="50" t="s">
        <v>65</v>
      </c>
      <c r="D273" s="50" t="s">
        <v>51</v>
      </c>
      <c r="E273" s="51" t="s">
        <v>879</v>
      </c>
      <c r="F273" s="50" t="s">
        <v>880</v>
      </c>
      <c r="G273" s="56" t="s">
        <v>1365</v>
      </c>
      <c r="H273" s="50"/>
      <c r="I273" s="53" t="s">
        <v>1366</v>
      </c>
    </row>
    <row r="274" spans="1:9" ht="16" x14ac:dyDescent="0.2">
      <c r="A274" s="49" t="s">
        <v>752</v>
      </c>
      <c r="B274" s="49" t="s">
        <v>751</v>
      </c>
      <c r="C274" s="50" t="s">
        <v>65</v>
      </c>
      <c r="D274" s="50" t="s">
        <v>36</v>
      </c>
      <c r="E274" s="51" t="s">
        <v>986</v>
      </c>
      <c r="F274" s="52" t="s">
        <v>37</v>
      </c>
      <c r="G274" s="52" t="s">
        <v>1367</v>
      </c>
      <c r="H274" s="52" t="s">
        <v>37</v>
      </c>
      <c r="I274" s="55" t="s">
        <v>1368</v>
      </c>
    </row>
    <row r="275" spans="1:9" ht="16" x14ac:dyDescent="0.2">
      <c r="A275" s="49" t="s">
        <v>754</v>
      </c>
      <c r="B275" s="49" t="s">
        <v>753</v>
      </c>
      <c r="C275" s="50" t="s">
        <v>65</v>
      </c>
      <c r="D275" s="50" t="s">
        <v>36</v>
      </c>
      <c r="E275" s="51" t="s">
        <v>986</v>
      </c>
      <c r="G275" s="52"/>
      <c r="H275" s="52"/>
      <c r="I275" s="55" t="s">
        <v>1369</v>
      </c>
    </row>
    <row r="276" spans="1:9" ht="16" x14ac:dyDescent="0.2">
      <c r="A276" s="49" t="s">
        <v>756</v>
      </c>
      <c r="B276" s="49" t="s">
        <v>755</v>
      </c>
      <c r="C276" s="50" t="s">
        <v>65</v>
      </c>
      <c r="D276" s="50" t="s">
        <v>36</v>
      </c>
      <c r="E276" s="51" t="s">
        <v>986</v>
      </c>
      <c r="F276" s="52" t="s">
        <v>37</v>
      </c>
      <c r="G276" s="52" t="s">
        <v>1370</v>
      </c>
      <c r="H276" s="52" t="s">
        <v>37</v>
      </c>
      <c r="I276" s="55" t="s">
        <v>1371</v>
      </c>
    </row>
    <row r="277" spans="1:9" ht="48" x14ac:dyDescent="0.2">
      <c r="A277" s="49" t="s">
        <v>758</v>
      </c>
      <c r="B277" s="49" t="s">
        <v>759</v>
      </c>
      <c r="C277" s="50" t="s">
        <v>589</v>
      </c>
      <c r="D277" s="50" t="s">
        <v>37</v>
      </c>
      <c r="E277" s="51" t="s">
        <v>879</v>
      </c>
      <c r="F277" s="50" t="s">
        <v>880</v>
      </c>
      <c r="G277" s="56" t="s">
        <v>1372</v>
      </c>
      <c r="H277" s="50"/>
      <c r="I277" s="53" t="s">
        <v>1373</v>
      </c>
    </row>
    <row r="278" spans="1:9" ht="16" x14ac:dyDescent="0.2">
      <c r="A278" s="49" t="s">
        <v>761</v>
      </c>
      <c r="B278" s="49" t="s">
        <v>760</v>
      </c>
      <c r="C278" s="50" t="s">
        <v>57</v>
      </c>
      <c r="D278" s="50" t="s">
        <v>51</v>
      </c>
      <c r="E278" s="51" t="s">
        <v>879</v>
      </c>
      <c r="F278" s="50" t="s">
        <v>37</v>
      </c>
      <c r="G278" s="58" t="s">
        <v>1374</v>
      </c>
      <c r="H278" s="50"/>
      <c r="I278" s="53" t="s">
        <v>1375</v>
      </c>
    </row>
    <row r="279" spans="1:9" ht="32" x14ac:dyDescent="0.2">
      <c r="A279" s="49" t="s">
        <v>763</v>
      </c>
      <c r="B279" s="49" t="s">
        <v>764</v>
      </c>
      <c r="C279" s="50" t="s">
        <v>65</v>
      </c>
      <c r="D279" s="50" t="s">
        <v>36</v>
      </c>
      <c r="E279" s="51" t="s">
        <v>986</v>
      </c>
      <c r="G279" s="52"/>
      <c r="H279" s="52"/>
      <c r="I279" s="55" t="s">
        <v>1376</v>
      </c>
    </row>
    <row r="280" spans="1:9" ht="16" x14ac:dyDescent="0.2">
      <c r="A280" s="49" t="s">
        <v>766</v>
      </c>
      <c r="B280" s="49" t="s">
        <v>767</v>
      </c>
      <c r="C280" s="50" t="s">
        <v>65</v>
      </c>
      <c r="D280" s="50" t="s">
        <v>36</v>
      </c>
      <c r="E280" s="51" t="s">
        <v>986</v>
      </c>
      <c r="F280" s="52" t="s">
        <v>37</v>
      </c>
      <c r="G280" s="52" t="s">
        <v>1377</v>
      </c>
      <c r="H280" s="52" t="s">
        <v>37</v>
      </c>
      <c r="I280" s="55" t="s">
        <v>1378</v>
      </c>
    </row>
    <row r="281" spans="1:9" ht="16" x14ac:dyDescent="0.2">
      <c r="A281" s="49" t="s">
        <v>769</v>
      </c>
      <c r="B281" s="49" t="s">
        <v>768</v>
      </c>
      <c r="C281" s="50" t="s">
        <v>65</v>
      </c>
      <c r="D281" s="50" t="s">
        <v>36</v>
      </c>
      <c r="E281" s="51" t="s">
        <v>986</v>
      </c>
      <c r="F281" s="52" t="s">
        <v>37</v>
      </c>
      <c r="G281" s="52" t="s">
        <v>1379</v>
      </c>
      <c r="H281" s="52" t="s">
        <v>37</v>
      </c>
      <c r="I281" s="55" t="s">
        <v>1380</v>
      </c>
    </row>
    <row r="282" spans="1:9" ht="16" x14ac:dyDescent="0.2">
      <c r="A282" s="49" t="s">
        <v>771</v>
      </c>
      <c r="B282" s="49" t="s">
        <v>772</v>
      </c>
      <c r="C282" s="50" t="s">
        <v>57</v>
      </c>
      <c r="D282" s="50" t="s">
        <v>51</v>
      </c>
      <c r="E282" s="51" t="s">
        <v>879</v>
      </c>
      <c r="F282" s="50" t="s">
        <v>37</v>
      </c>
      <c r="G282" s="56" t="s">
        <v>1381</v>
      </c>
      <c r="H282" s="50"/>
      <c r="I282" s="53" t="s">
        <v>1382</v>
      </c>
    </row>
    <row r="283" spans="1:9" ht="16" x14ac:dyDescent="0.2">
      <c r="A283" s="49" t="s">
        <v>774</v>
      </c>
      <c r="B283" s="49" t="s">
        <v>773</v>
      </c>
      <c r="C283" s="50" t="s">
        <v>65</v>
      </c>
      <c r="D283" s="50" t="s">
        <v>36</v>
      </c>
      <c r="E283" s="51" t="s">
        <v>986</v>
      </c>
      <c r="F283" s="52" t="s">
        <v>37</v>
      </c>
      <c r="G283" s="52" t="s">
        <v>1383</v>
      </c>
      <c r="H283" s="52" t="s">
        <v>37</v>
      </c>
      <c r="I283" s="55" t="s">
        <v>1384</v>
      </c>
    </row>
    <row r="284" spans="1:9" ht="16" x14ac:dyDescent="0.2">
      <c r="A284" s="49" t="s">
        <v>776</v>
      </c>
      <c r="B284" s="49" t="s">
        <v>775</v>
      </c>
      <c r="C284" s="50" t="s">
        <v>65</v>
      </c>
      <c r="D284" s="50" t="s">
        <v>36</v>
      </c>
      <c r="E284" s="51" t="s">
        <v>986</v>
      </c>
      <c r="F284" s="52" t="s">
        <v>37</v>
      </c>
      <c r="G284" s="52" t="s">
        <v>1385</v>
      </c>
      <c r="H284" s="52" t="s">
        <v>37</v>
      </c>
      <c r="I284" s="55" t="s">
        <v>1386</v>
      </c>
    </row>
    <row r="285" spans="1:9" ht="16" x14ac:dyDescent="0.2">
      <c r="A285" s="49" t="s">
        <v>778</v>
      </c>
      <c r="B285" s="49" t="s">
        <v>779</v>
      </c>
      <c r="C285" s="50" t="s">
        <v>65</v>
      </c>
      <c r="D285" s="50" t="s">
        <v>36</v>
      </c>
      <c r="E285" s="51" t="s">
        <v>986</v>
      </c>
      <c r="F285" s="52" t="s">
        <v>37</v>
      </c>
      <c r="G285" s="52" t="s">
        <v>1387</v>
      </c>
      <c r="H285" s="52" t="s">
        <v>37</v>
      </c>
      <c r="I285" s="55" t="s">
        <v>1388</v>
      </c>
    </row>
    <row r="286" spans="1:9" ht="16" x14ac:dyDescent="0.2">
      <c r="A286" s="49" t="s">
        <v>781</v>
      </c>
      <c r="B286" s="49" t="s">
        <v>780</v>
      </c>
      <c r="C286" s="50" t="s">
        <v>65</v>
      </c>
      <c r="D286" s="50" t="s">
        <v>36</v>
      </c>
      <c r="E286" s="51" t="s">
        <v>986</v>
      </c>
      <c r="F286" s="52" t="s">
        <v>37</v>
      </c>
      <c r="G286" s="52" t="s">
        <v>1389</v>
      </c>
      <c r="H286" s="52" t="s">
        <v>37</v>
      </c>
      <c r="I286" s="55" t="s">
        <v>1390</v>
      </c>
    </row>
    <row r="287" spans="1:9" ht="16" x14ac:dyDescent="0.2">
      <c r="A287" s="49" t="s">
        <v>783</v>
      </c>
      <c r="B287" s="49" t="s">
        <v>782</v>
      </c>
      <c r="C287" s="50" t="s">
        <v>65</v>
      </c>
      <c r="D287" s="50" t="s">
        <v>36</v>
      </c>
      <c r="E287" s="51" t="s">
        <v>986</v>
      </c>
      <c r="F287" s="52" t="s">
        <v>37</v>
      </c>
      <c r="G287" s="52" t="s">
        <v>1391</v>
      </c>
      <c r="H287" s="52" t="s">
        <v>37</v>
      </c>
      <c r="I287" s="55" t="s">
        <v>1392</v>
      </c>
    </row>
    <row r="288" spans="1:9" ht="16" x14ac:dyDescent="0.2">
      <c r="A288" s="49" t="s">
        <v>785</v>
      </c>
      <c r="B288" s="49" t="s">
        <v>784</v>
      </c>
      <c r="C288" s="50" t="s">
        <v>65</v>
      </c>
      <c r="D288" s="50" t="s">
        <v>36</v>
      </c>
      <c r="E288" s="51" t="s">
        <v>986</v>
      </c>
      <c r="G288" s="52"/>
      <c r="H288" s="52"/>
      <c r="I288" s="55" t="s">
        <v>1393</v>
      </c>
    </row>
    <row r="289" spans="1:9" ht="16" x14ac:dyDescent="0.2">
      <c r="A289" s="49" t="s">
        <v>787</v>
      </c>
      <c r="B289" s="49" t="s">
        <v>788</v>
      </c>
      <c r="C289" s="50" t="s">
        <v>836</v>
      </c>
      <c r="D289" s="50" t="s">
        <v>51</v>
      </c>
      <c r="E289" s="51" t="s">
        <v>879</v>
      </c>
      <c r="F289" s="50" t="s">
        <v>880</v>
      </c>
      <c r="G289" s="56" t="s">
        <v>1394</v>
      </c>
      <c r="H289" s="50"/>
      <c r="I289" s="53" t="s">
        <v>1395</v>
      </c>
    </row>
    <row r="290" spans="1:9" ht="16" x14ac:dyDescent="0.2">
      <c r="A290" s="49" t="s">
        <v>790</v>
      </c>
      <c r="B290" s="49" t="s">
        <v>789</v>
      </c>
      <c r="C290" s="50" t="s">
        <v>65</v>
      </c>
      <c r="D290" s="50" t="s">
        <v>36</v>
      </c>
      <c r="E290" s="51" t="s">
        <v>986</v>
      </c>
      <c r="F290" s="52" t="s">
        <v>37</v>
      </c>
      <c r="G290" s="52" t="s">
        <v>1396</v>
      </c>
      <c r="H290" s="52" t="s">
        <v>37</v>
      </c>
      <c r="I290" s="55" t="s">
        <v>1397</v>
      </c>
    </row>
    <row r="291" spans="1:9" ht="16" x14ac:dyDescent="0.2">
      <c r="A291" s="49" t="s">
        <v>792</v>
      </c>
      <c r="B291" s="49" t="s">
        <v>791</v>
      </c>
      <c r="C291" s="50" t="s">
        <v>65</v>
      </c>
      <c r="D291" s="50" t="s">
        <v>36</v>
      </c>
      <c r="E291" s="51" t="s">
        <v>986</v>
      </c>
      <c r="F291" s="52" t="s">
        <v>37</v>
      </c>
      <c r="G291" s="52" t="s">
        <v>1398</v>
      </c>
      <c r="H291" s="52" t="s">
        <v>37</v>
      </c>
      <c r="I291" s="55" t="s">
        <v>1399</v>
      </c>
    </row>
    <row r="292" spans="1:9" ht="16" x14ac:dyDescent="0.2">
      <c r="A292" s="49" t="s">
        <v>794</v>
      </c>
      <c r="B292" s="49" t="s">
        <v>795</v>
      </c>
      <c r="C292" s="50" t="s">
        <v>65</v>
      </c>
      <c r="D292" s="50" t="s">
        <v>36</v>
      </c>
      <c r="E292" s="51" t="s">
        <v>986</v>
      </c>
      <c r="F292" s="52" t="s">
        <v>37</v>
      </c>
      <c r="G292" s="52" t="s">
        <v>1400</v>
      </c>
      <c r="H292" s="52" t="s">
        <v>37</v>
      </c>
      <c r="I292" s="55" t="s">
        <v>1401</v>
      </c>
    </row>
    <row r="293" spans="1:9" ht="16" x14ac:dyDescent="0.2">
      <c r="A293" s="49" t="s">
        <v>797</v>
      </c>
      <c r="B293" s="49" t="s">
        <v>796</v>
      </c>
      <c r="C293" s="50" t="s">
        <v>65</v>
      </c>
      <c r="D293" s="50" t="s">
        <v>36</v>
      </c>
      <c r="E293" s="51" t="s">
        <v>986</v>
      </c>
      <c r="G293" s="52"/>
      <c r="H293" s="52"/>
      <c r="I293" s="55" t="s">
        <v>1402</v>
      </c>
    </row>
    <row r="294" spans="1:9" ht="16" x14ac:dyDescent="0.2">
      <c r="A294" s="49" t="s">
        <v>799</v>
      </c>
      <c r="B294" s="49" t="s">
        <v>800</v>
      </c>
      <c r="C294" s="50" t="s">
        <v>905</v>
      </c>
      <c r="D294" s="50" t="s">
        <v>51</v>
      </c>
      <c r="E294" s="51" t="s">
        <v>879</v>
      </c>
      <c r="F294" s="50" t="s">
        <v>37</v>
      </c>
      <c r="G294" t="s">
        <v>1403</v>
      </c>
      <c r="H294" s="50" t="s">
        <v>37</v>
      </c>
      <c r="I294" s="53" t="s">
        <v>1404</v>
      </c>
    </row>
    <row r="295" spans="1:9" ht="16" x14ac:dyDescent="0.2">
      <c r="A295" s="49" t="s">
        <v>803</v>
      </c>
      <c r="B295" s="49" t="s">
        <v>802</v>
      </c>
      <c r="C295" s="50" t="s">
        <v>65</v>
      </c>
      <c r="D295" s="50" t="s">
        <v>36</v>
      </c>
      <c r="E295" s="51" t="s">
        <v>986</v>
      </c>
      <c r="G295" s="52"/>
      <c r="H295" s="52"/>
      <c r="I295" s="55" t="s">
        <v>1405</v>
      </c>
    </row>
    <row r="296" spans="1:9" ht="16" x14ac:dyDescent="0.2">
      <c r="A296" s="49" t="s">
        <v>805</v>
      </c>
      <c r="B296" s="49" t="s">
        <v>806</v>
      </c>
      <c r="C296" s="50" t="s">
        <v>57</v>
      </c>
      <c r="D296" s="50" t="s">
        <v>51</v>
      </c>
      <c r="E296" s="51" t="s">
        <v>879</v>
      </c>
      <c r="F296" s="50" t="s">
        <v>37</v>
      </c>
      <c r="G296" s="56" t="s">
        <v>1406</v>
      </c>
      <c r="H296" s="50"/>
      <c r="I296" s="53" t="s">
        <v>1407</v>
      </c>
    </row>
    <row r="297" spans="1:9" ht="16" x14ac:dyDescent="0.2">
      <c r="A297" s="49" t="s">
        <v>808</v>
      </c>
      <c r="B297" s="49" t="s">
        <v>809</v>
      </c>
      <c r="C297" s="50" t="s">
        <v>57</v>
      </c>
      <c r="D297" s="50" t="s">
        <v>51</v>
      </c>
      <c r="E297" s="51" t="s">
        <v>879</v>
      </c>
      <c r="F297" s="50" t="s">
        <v>37</v>
      </c>
      <c r="G297" s="58" t="s">
        <v>1408</v>
      </c>
      <c r="H297" s="50"/>
      <c r="I297" s="53" t="s">
        <v>1409</v>
      </c>
    </row>
    <row r="298" spans="1:9" ht="16" x14ac:dyDescent="0.2">
      <c r="A298" s="49" t="s">
        <v>811</v>
      </c>
      <c r="B298" s="49" t="s">
        <v>812</v>
      </c>
      <c r="C298" s="50" t="s">
        <v>65</v>
      </c>
      <c r="D298" s="50" t="s">
        <v>36</v>
      </c>
      <c r="E298" s="51" t="s">
        <v>986</v>
      </c>
      <c r="F298" s="52" t="s">
        <v>37</v>
      </c>
      <c r="G298" s="52" t="s">
        <v>1410</v>
      </c>
      <c r="H298" s="52" t="s">
        <v>37</v>
      </c>
      <c r="I298" s="55" t="s">
        <v>1411</v>
      </c>
    </row>
    <row r="299" spans="1:9" ht="16" x14ac:dyDescent="0.2">
      <c r="A299" s="49" t="s">
        <v>814</v>
      </c>
      <c r="B299" s="49" t="s">
        <v>815</v>
      </c>
      <c r="C299" s="50" t="s">
        <v>836</v>
      </c>
      <c r="D299" s="50" t="s">
        <v>51</v>
      </c>
      <c r="E299" s="51" t="s">
        <v>879</v>
      </c>
      <c r="F299" s="50" t="s">
        <v>880</v>
      </c>
      <c r="G299" s="56" t="s">
        <v>1412</v>
      </c>
      <c r="H299" s="50"/>
      <c r="I299" s="53" t="s">
        <v>1413</v>
      </c>
    </row>
    <row r="300" spans="1:9" ht="16" x14ac:dyDescent="0.2">
      <c r="A300" s="49" t="s">
        <v>817</v>
      </c>
      <c r="B300" s="49" t="s">
        <v>818</v>
      </c>
      <c r="C300" s="50" t="s">
        <v>65</v>
      </c>
      <c r="D300" s="50" t="s">
        <v>36</v>
      </c>
      <c r="E300" s="51" t="s">
        <v>986</v>
      </c>
      <c r="F300" s="52"/>
      <c r="H300" s="52"/>
      <c r="I300" s="55" t="s">
        <v>1414</v>
      </c>
    </row>
    <row r="301" spans="1:9" ht="16" x14ac:dyDescent="0.2">
      <c r="A301" s="49" t="s">
        <v>820</v>
      </c>
      <c r="B301" s="49" t="s">
        <v>819</v>
      </c>
      <c r="C301" s="50" t="s">
        <v>905</v>
      </c>
      <c r="D301" s="50" t="s">
        <v>51</v>
      </c>
      <c r="E301" s="51" t="s">
        <v>879</v>
      </c>
      <c r="F301" s="50" t="s">
        <v>37</v>
      </c>
      <c r="G301" t="s">
        <v>1415</v>
      </c>
      <c r="H301" s="50" t="s">
        <v>37</v>
      </c>
      <c r="I301" s="53" t="s">
        <v>1416</v>
      </c>
    </row>
    <row r="302" spans="1:9" ht="16" x14ac:dyDescent="0.2">
      <c r="A302" s="49" t="s">
        <v>822</v>
      </c>
      <c r="B302" s="49" t="s">
        <v>821</v>
      </c>
      <c r="C302" s="50" t="s">
        <v>65</v>
      </c>
      <c r="D302" s="50" t="s">
        <v>36</v>
      </c>
      <c r="E302" s="51" t="s">
        <v>986</v>
      </c>
      <c r="F302" s="52" t="s">
        <v>37</v>
      </c>
      <c r="G302" s="52" t="s">
        <v>1417</v>
      </c>
      <c r="H302" s="52" t="s">
        <v>37</v>
      </c>
      <c r="I302" s="55" t="s">
        <v>1418</v>
      </c>
    </row>
    <row r="303" spans="1:9" ht="16" x14ac:dyDescent="0.2">
      <c r="A303" s="49" t="s">
        <v>824</v>
      </c>
      <c r="B303" s="49" t="s">
        <v>823</v>
      </c>
      <c r="C303" s="50" t="s">
        <v>65</v>
      </c>
      <c r="D303" s="50" t="s">
        <v>36</v>
      </c>
      <c r="E303" s="51" t="s">
        <v>986</v>
      </c>
      <c r="F303" s="52" t="s">
        <v>37</v>
      </c>
      <c r="G303" s="52" t="s">
        <v>1419</v>
      </c>
      <c r="H303" s="52" t="s">
        <v>37</v>
      </c>
      <c r="I303" s="55" t="s">
        <v>1420</v>
      </c>
    </row>
    <row r="304" spans="1:9" ht="16" x14ac:dyDescent="0.2">
      <c r="A304" s="49" t="s">
        <v>826</v>
      </c>
      <c r="B304" s="49" t="s">
        <v>827</v>
      </c>
      <c r="C304" s="50" t="s">
        <v>57</v>
      </c>
      <c r="D304" s="50" t="s">
        <v>51</v>
      </c>
      <c r="E304" s="51" t="s">
        <v>879</v>
      </c>
      <c r="F304" s="50" t="s">
        <v>37</v>
      </c>
      <c r="G304" s="56" t="s">
        <v>1421</v>
      </c>
      <c r="H304" s="50"/>
      <c r="I304" s="53" t="s">
        <v>1422</v>
      </c>
    </row>
    <row r="305" spans="1:10" ht="16" x14ac:dyDescent="0.2">
      <c r="A305" s="49" t="s">
        <v>829</v>
      </c>
      <c r="B305" s="49" t="s">
        <v>828</v>
      </c>
      <c r="C305" s="50" t="s">
        <v>65</v>
      </c>
      <c r="D305" s="50" t="s">
        <v>36</v>
      </c>
      <c r="E305" s="51" t="s">
        <v>986</v>
      </c>
      <c r="F305" s="52"/>
      <c r="H305" s="52"/>
      <c r="I305" s="55" t="s">
        <v>1423</v>
      </c>
    </row>
    <row r="306" spans="1:10" ht="16" x14ac:dyDescent="0.2">
      <c r="A306" s="49" t="s">
        <v>832</v>
      </c>
      <c r="B306" s="49" t="s">
        <v>833</v>
      </c>
      <c r="C306" s="50" t="s">
        <v>57</v>
      </c>
      <c r="D306" s="50" t="s">
        <v>51</v>
      </c>
      <c r="E306" s="51" t="s">
        <v>879</v>
      </c>
      <c r="F306" s="50" t="s">
        <v>37</v>
      </c>
      <c r="G306" s="56" t="s">
        <v>1424</v>
      </c>
      <c r="H306" s="50"/>
      <c r="I306" s="53" t="s">
        <v>1425</v>
      </c>
    </row>
    <row r="307" spans="1:10" ht="16" x14ac:dyDescent="0.2">
      <c r="A307" s="49" t="s">
        <v>835</v>
      </c>
      <c r="B307" s="49" t="s">
        <v>834</v>
      </c>
      <c r="C307" s="50" t="s">
        <v>836</v>
      </c>
      <c r="D307" s="50" t="s">
        <v>36</v>
      </c>
      <c r="E307" s="51" t="s">
        <v>986</v>
      </c>
      <c r="F307" s="52" t="s">
        <v>37</v>
      </c>
      <c r="G307" s="52" t="s">
        <v>1426</v>
      </c>
      <c r="H307" s="52" t="s">
        <v>37</v>
      </c>
      <c r="I307" s="55" t="s">
        <v>1427</v>
      </c>
    </row>
    <row r="308" spans="1:10" ht="16" x14ac:dyDescent="0.2">
      <c r="A308" s="49" t="s">
        <v>838</v>
      </c>
      <c r="B308" s="49" t="s">
        <v>839</v>
      </c>
      <c r="C308" s="50" t="s">
        <v>836</v>
      </c>
      <c r="D308" s="50" t="s">
        <v>51</v>
      </c>
      <c r="E308" s="51" t="s">
        <v>879</v>
      </c>
      <c r="F308" s="50" t="s">
        <v>883</v>
      </c>
      <c r="H308" s="50"/>
      <c r="I308" s="51" t="s">
        <v>960</v>
      </c>
    </row>
    <row r="309" spans="1:10" ht="16" x14ac:dyDescent="0.2">
      <c r="A309" s="49" t="s">
        <v>841</v>
      </c>
      <c r="B309" s="49" t="s">
        <v>842</v>
      </c>
      <c r="C309" s="50" t="s">
        <v>905</v>
      </c>
      <c r="D309" s="50" t="s">
        <v>51</v>
      </c>
      <c r="E309" s="51" t="s">
        <v>879</v>
      </c>
      <c r="F309" s="50" t="s">
        <v>37</v>
      </c>
      <c r="G309" t="s">
        <v>1428</v>
      </c>
      <c r="H309" s="50" t="s">
        <v>37</v>
      </c>
      <c r="I309" s="53" t="s">
        <v>1429</v>
      </c>
    </row>
    <row r="310" spans="1:10" ht="16" x14ac:dyDescent="0.2">
      <c r="A310" s="49" t="s">
        <v>844</v>
      </c>
      <c r="B310" s="49" t="s">
        <v>843</v>
      </c>
      <c r="C310" s="50" t="s">
        <v>57</v>
      </c>
      <c r="D310" s="50" t="s">
        <v>51</v>
      </c>
      <c r="E310" s="51" t="s">
        <v>879</v>
      </c>
      <c r="F310" s="50" t="s">
        <v>880</v>
      </c>
      <c r="H310" s="50"/>
      <c r="I310" s="51" t="s">
        <v>66</v>
      </c>
    </row>
    <row r="311" spans="1:10" ht="16" x14ac:dyDescent="0.2">
      <c r="A311" s="49" t="s">
        <v>846</v>
      </c>
      <c r="B311" s="49" t="s">
        <v>845</v>
      </c>
      <c r="C311" s="50" t="s">
        <v>836</v>
      </c>
      <c r="D311" s="50" t="s">
        <v>36</v>
      </c>
      <c r="E311" s="51" t="s">
        <v>986</v>
      </c>
      <c r="F311" s="52" t="s">
        <v>37</v>
      </c>
      <c r="G311" s="52" t="s">
        <v>1430</v>
      </c>
      <c r="H311" s="52" t="s">
        <v>37</v>
      </c>
      <c r="I311" s="55" t="s">
        <v>1431</v>
      </c>
    </row>
    <row r="312" spans="1:10" ht="16" x14ac:dyDescent="0.2">
      <c r="A312" s="49" t="s">
        <v>848</v>
      </c>
      <c r="B312" s="49" t="s">
        <v>847</v>
      </c>
      <c r="C312" s="49" t="s">
        <v>57</v>
      </c>
      <c r="D312" s="50" t="s">
        <v>51</v>
      </c>
      <c r="E312" s="51" t="s">
        <v>879</v>
      </c>
      <c r="F312" s="50" t="s">
        <v>880</v>
      </c>
      <c r="G312" s="50" t="s">
        <v>1011</v>
      </c>
      <c r="H312" s="50"/>
      <c r="I312" s="51" t="s">
        <v>1432</v>
      </c>
    </row>
    <row r="313" spans="1:10" ht="16" x14ac:dyDescent="0.2">
      <c r="A313" s="49" t="s">
        <v>850</v>
      </c>
      <c r="B313" s="49" t="s">
        <v>851</v>
      </c>
      <c r="C313" s="49" t="s">
        <v>836</v>
      </c>
      <c r="D313" s="50" t="s">
        <v>51</v>
      </c>
      <c r="E313" s="51" t="s">
        <v>879</v>
      </c>
      <c r="F313" s="50" t="s">
        <v>880</v>
      </c>
      <c r="G313" s="50" t="s">
        <v>1433</v>
      </c>
      <c r="H313" s="50"/>
      <c r="I313" s="53" t="s">
        <v>1434</v>
      </c>
    </row>
    <row r="314" spans="1:10" ht="16" x14ac:dyDescent="0.2">
      <c r="A314" s="49" t="s">
        <v>853</v>
      </c>
      <c r="B314" s="49" t="s">
        <v>854</v>
      </c>
      <c r="C314" s="49" t="s">
        <v>905</v>
      </c>
      <c r="D314" s="50" t="s">
        <v>51</v>
      </c>
      <c r="E314" s="51" t="s">
        <v>879</v>
      </c>
      <c r="F314" s="50" t="s">
        <v>37</v>
      </c>
      <c r="G314" s="50" t="s">
        <v>1435</v>
      </c>
      <c r="H314" s="50"/>
      <c r="I314" s="53" t="s">
        <v>1436</v>
      </c>
    </row>
    <row r="315" spans="1:10" ht="16" x14ac:dyDescent="0.2">
      <c r="A315" s="50" t="s">
        <v>858</v>
      </c>
      <c r="B315" s="50" t="s">
        <v>859</v>
      </c>
      <c r="C315" s="50" t="s">
        <v>57</v>
      </c>
      <c r="D315" s="50" t="s">
        <v>51</v>
      </c>
      <c r="E315" s="51" t="s">
        <v>879</v>
      </c>
      <c r="F315" s="50" t="s">
        <v>883</v>
      </c>
      <c r="G315" s="50" t="s">
        <v>1437</v>
      </c>
      <c r="H315" s="50"/>
      <c r="I315" s="53" t="s">
        <v>1438</v>
      </c>
      <c r="J315" s="42"/>
    </row>
    <row r="316" spans="1:10" x14ac:dyDescent="0.2">
      <c r="A316" s="42"/>
      <c r="B316" s="42"/>
      <c r="C316" s="42"/>
      <c r="D316" s="42"/>
      <c r="E316" s="42"/>
      <c r="F316" s="42"/>
      <c r="G316" s="42"/>
      <c r="H316" s="42"/>
      <c r="I316" s="42"/>
    </row>
  </sheetData>
  <autoFilter ref="A1:J315" xr:uid="{9C3C70FB-4E6E-44AB-88C3-2893232FEBFD}"/>
  <hyperlinks>
    <hyperlink ref="I24" r:id="rId1" display="https://advance-lexis-com.ezproxy.library.tufts.edu/search/?pdmfid=1516831&amp;crid=9354e9ef-0eaa-4cf0-aa72-d327a5092ae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nito+OR+Nte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ea21021-dc37-4a81-b832-05155671fa9c" xr:uid="{130B3A88-1A34-4964-AF1F-C6D6E986961C}"/>
    <hyperlink ref="I226" r:id="rId2" display="https://advance-lexis-com.ezproxy.library.tufts.edu/search/?pdmfid=1516831&amp;crid=22d4f4e9-971a-469e-9184-20cd2de3455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Red)+OR+Song+Hong+OR+Amo+OR+Babian+OR+Lishe+OR+Lixian+OR+Luzhi+OR+Nanmuli+He+OR+Nanpan+Jiang+OR+Nanpanjiang+OR+Tangqiao+He+OR+Xida+He+OR+Chay+OR+CAPS(Da)+OR+Gam+OR+Kim+OR+Lo+OR+Luc+Ngan+OR+CAPS(Ma)+OR+Meuk+OR+CAPS(Na)+OR+Nhi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f28babb1-77e4-4a27-a680-fce086decbf4" xr:uid="{2BF6D642-6794-42E0-ACC1-7332996F43E0}"/>
    <hyperlink ref="I53" r:id="rId3" display="https://advance.lexis.com/search/?pdmfid=1516831&amp;crid=1fff4352-9630-4cb1-9897-9e6b6e68ff3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Cros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6c061383-d2b1-49a1-9617-98848a94b271" xr:uid="{1B1C430C-A273-4954-9634-6BEF082ED4A9}"/>
    <hyperlink ref="I48" r:id="rId4" display="https://advance.lexis.com/search/?pdmfid=1516831&amp;crid=1bbf0658-8491-4737-8bae-31be6ae878b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nnecticu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102aeb2a-f850-4637-abc6-325ff14b68a9" xr:uid="{B86BCDCC-E5B6-4CFC-ADB1-664EC29CED2A}"/>
    <hyperlink ref="I7" r:id="rId5" display="https://advance-lexis-com.ezproxy.library.tufts.edu/search/?pdmfid=1516831&amp;crid=86bbb8d1-9f00-481b-bfc5-ec60245e807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mur+OR+Emur+OR+Huma+OR+Muling+OR+Naoli+OR+Songhua+OR+Amagun+OR+Argun+OR+Bikin+OR+Bureya+OR+CAPS(Dep)+OR+Gazimur+OR+Gilyuy+OR+Ingoda+OR+Kur+OR+Onon+OR+Oz.+Chukchagirskoye+OR+Oz.+Khanka+OR+Oz.+Udyl%27+OR+Shilka+OR+CAPS(Tok)+OR+Urmi+OR+Ussuri+OR+Ze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xr:uid="{19BC995D-4EEA-43B8-BEAB-94D52FB20B3D}"/>
    <hyperlink ref="I43" r:id="rId6" xr:uid="{585609FB-5C63-49AE-8E40-2538F13FCA2D}"/>
    <hyperlink ref="I20" r:id="rId7" display="https://advance-lexis-com.ezproxy.library.tufts.edu/search/?pdmfid=1516831&amp;crid=2765f148-e3e7-4702-8620-72fa608c3e6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ker+OR+Cochra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xr:uid="{D8AAEBD3-9339-4B64-B278-15751486023B}"/>
    <hyperlink ref="I34" r:id="rId8" display="https://advance-lexis-com.ezproxy.library.tufts.edu/search/?pdmfid=1516831&amp;crid=4cf3c068-91d1-4158-8a98-9c24e56be26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uzi+OR+Rio+Revue+OR+Chibudzana+OR+Nyanhombo+OR+CAPS(Rio)+OR+Sterkstroo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xr:uid="{F5C2F85B-564B-4C6E-B706-CA1092CD0212}"/>
    <hyperlink ref="I36" r:id="rId9" display="https://advance-lexis-com.ezproxy.library.tufts.edu/search/?pdmfid=1516831&amp;crid=4345e65f-f82e-4ac4-a27f-aa5d25e37c8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OR+Song+La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xr:uid="{47301080-4BCD-4527-AFF8-F99308368BB8}"/>
    <hyperlink ref="I236" r:id="rId10" display="https://advance-lexis-com.ezproxy.library.tufts.edu/search/?pdmfid=1516831&amp;crid=e8b4ae7a-b916-43d6-acdf-10afe225508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ta+Cla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xr:uid="{12F3D812-133C-4661-893A-C30204DBB1CC}"/>
    <hyperlink ref="I260" r:id="rId11" display="https://advance-lexis-com.ezproxy.library.tufts.edu/search/?pdmfid=1516831&amp;crid=22c93266-4cec-4643-91de-bd612bd8098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Paul+OR+Di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xr:uid="{CDA8E511-B65A-4B23-9E04-BAD4C942EBBB}"/>
    <hyperlink ref="I62" r:id="rId12" display="https://advance-lexis-com.ezproxy.library.tufts.edu/search/?pdmfid=1516831&amp;crid=e1ce2255-8075-4896-a055-4ed8bf4d25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vally+OR+Dub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06%2F30%2F2008to07%2F01%2F2023%7Cdatebetween&amp;pdfromadvancedsearchpage=true&amp;ecomp=qxLg9kk&amp;earg=pdpsf&amp;prid=ca2ac95e-6e8c-4fe3-b6fd-ed3bd8f901fa" xr:uid="{809AC437-67F9-4B3E-9ACF-7015DDBC4D40}"/>
    <hyperlink ref="I215" r:id="rId13" xr:uid="{7438CA5E-5566-4A02-B195-31DF2357DB83}"/>
    <hyperlink ref="I71" r:id="rId14" display="https://advance-lexis-com.ezproxy.library.tufts.edu/search/?pdmfid=1516831&amp;crid=77b7af4a-a2ea-4da0-8ca3-5bf44041b49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emerice+OR+Drin+OR+Drinizi+OR+Fshat+OR+Gjemon+OR+Gjonc+OR+Kamenice+OR+Kasaj+OR+Lavdan+OR+Leminot+OR+Markez+OR+Ohridsko+Jezero+OR+Lake+Ohrid+OR+Prifte+OR+Sopale+OR+Teqese+OR+T%27plan+OR+Tropoje+OR+Verlen+OR+Zberga+OR+Beli+Drim+OR+Pecska+Bistri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d7000717-2661-4f9f-bce1-069052346960" xr:uid="{0758F073-2F62-474D-8B24-0FCF590BFDC4}"/>
    <hyperlink ref="I89" r:id="rId15" display="https://advance-lexis-com.ezproxy.library.tufts.edu/search/?pdmfid=1516831&amp;crid=e4808135-3e86-4a77-b983-b461fac6b31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mbia+OR+Sandoug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aff113b6-2cc6-49f7-bcf9-d55d8442ceae" xr:uid="{74B10260-2A18-4961-A595-1F5AF49EBC4E}"/>
    <hyperlink ref="I98" r:id="rId16" display="https://advance-lexis-com.ezproxy.library.tufts.edu/search/?pdmfid=1516831&amp;crid=94b1f816-1e50-4727-87c7-b3de1d7b039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ffluent+du+Lot+OR+Agout+OR+Alrance+OR+Ariege+OR+Arrats+OR+Aveyron+OR+Bage+OR+Baise+OR+Ceret+OR+Cerou+OR+Dadou+OR+Dourdou+OR+Dropt+OR+Garonne+OR+Gelise+OR+Gers+OR+Gesse+OR+Gimone+OR+Labenede+OR+Lezert+OR+Lot+OR+Osse+OR+Save+OR+Tarn+OR+Tolerme+OR+CAPS(Touch)+OR+Truel+OR+Truyere+OR+Valescure+OR+Vebre+OR+Viaur+OR+Vioulou+OR+Ardila+OR+Campilhas+OR+Chanca+OR+Cobres+OR+Dogeba+OR+Odivelas+OR+Roxo+OR+Vale+Diogo+OR+Vascao+OR+Xarra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 xr:uid="{13CB2A99-A1A8-4F5D-B93B-328099EC975D}"/>
    <hyperlink ref="I107" r:id="rId17" display="https://advance-lexis-com.ezproxy.library.tufts.edu/search/?pdmfid=1516831&amp;crid=138a28b9-b110-44a5-9fd6-a183312424e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b-e+Istadeh-ye+OR+Arghanadab+OR+Dasht-e+Nuvar+OR+Hamuh-e+Puzak+OR+Helmand+OR+Rowd-e+Lurah+OR+Tarnak+OR+Kor+OR+Sivand)+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aff113b6-2cc6-49f7-bcf9-d55d8442ceae" xr:uid="{EB11C994-2385-48E9-8FCD-270F1F16FDEF}"/>
    <hyperlink ref="I115" r:id="rId18" display="https://advance-lexis-com.ezproxy.library.tufts.edu/search/?pdmfid=1516831&amp;crid=cc7478ee-c5e2-4073-9690-ea9065c1fdd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rrawaddy+OR+Daying+OR+Long+Chuan+OR+Thoubal+Turel+OR+Logtak+Lake+OR+Chidwin+OR+Chindwin+OR+Chinthe+OR+Gedu+OR+Heinhtun+OR+Iudawgyi+Lake+OR+Kaukkwe+OR+Kiu+OR+Kodan+OR+Lang+OR+CAPS(Ma)+OR+Mali+OR+Manipur+OR+Meza+OR+CAPS(Mon)+OR+Mu+OR+Myitnge+OR+Myittha+OR+Nampak+OR+Namyin+OR+Nat+E-zu+OR+Nmai+OR+Pani+OR+Schweli+OR+Tainggwin+OR+Tamai+OR+Tarung+OR+Tizu-Nantaleik+OR+Uyn+OR+CAPS(Yao)+OR+CAPS(Yu)+OR+Zahaw)+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 xr:uid="{03EBB2B4-74B6-47F4-BFF8-35D32E638928}"/>
    <hyperlink ref="I136" r:id="rId19" display="https://advance-lexis-com.ezproxy.library.tufts.edu/search/?pdmfid=1516831&amp;crid=7989030f-f83f-4a2e-ac95-c2f7c1ed1ac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Azue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07b1738-8278-4e7c-aa0b-94b3e27fedbe" xr:uid="{B2D2CFBB-C105-4839-9047-A8DB8814EBD8}"/>
    <hyperlink ref="I142" r:id="rId20" display="https://advance-lexis-com.ezproxy.library.tufts.edu/search/?pdmfid=1516831&amp;crid=8628251c-18dc-4ae8-9718-5cd95bad4f3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Fagna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07b1738-8278-4e7c-aa0b-94b3e27fedbe" xr:uid="{372B604F-3ABA-4783-9CF3-A82052672982}"/>
    <hyperlink ref="I149" r:id="rId21" display="https://advance-lexis-com.ezproxy.library.tufts.edu/search/?pdmfid=1516831&amp;crid=94cdf160-0dd4-4f1e-aabd-e15243f7be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Ubsa+OR+Nu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07b1738-8278-4e7c-aa0b-94b3e27fedbe" xr:uid="{102381B9-3F2D-4C04-B075-6EF5F5C15BF3}"/>
    <hyperlink ref="I246" r:id="rId22" display="https://advance-lexis-com.ezproxy.library.tufts.edu/search/?pdmfid=1516831&amp;crid=5dc9bed7-72da-422c-888a-5cee75f5c2c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negal+OR+Bafing+OR+Bakoye+OR+Baoule+OR+Karakoro+OR+Kolimbine+OR+Ouadou+OR+Gorgol+Blanc)+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xr:uid="{DD16027D-F4ED-4698-BC08-78C7B01D232F}"/>
    <hyperlink ref="I255" r:id="rId23" display="https://advance-lexis-com.ezproxy.library.tufts.edu/search/?pdmfid=1516831&amp;crid=26f7790d-6a0f-4638-a1cb-b2ffae2ce95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Juan+OR+Chiripo+OR+Lagoon+De+Arenal+OR+San+Carlo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xr:uid="{00999400-6403-426A-B225-F6EEF5B4CA5E}"/>
    <hyperlink ref="I258" r:id="rId24" display="https://advance-lexis-com.ezproxy.library.tufts.edu/search/?pdmfid=1516831&amp;crid=d87c3476-848d-4610-a404-432f87cd733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Marti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xr:uid="{6963CC84-235F-4760-9D86-6AF84DFACB1C}"/>
    <hyperlink ref="I245" r:id="rId25" display="https://advance-lexis-com.ezproxy.library.tufts.edu/search/?pdmfid=1516831&amp;crid=dcc26c19-0f12-4f05-85a0-7bc23e7aad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ine+OR+Aube+OR+Eure+OR+Iton+OR+Marne+OR+Oise+OR+Vanne+OR+Yon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xr:uid="{1AEAE638-7981-4755-8DFF-14143244217A}"/>
    <hyperlink ref="I239" r:id="rId26" display="https://advance-lexis-com.ezproxy.library.tufts.edu/search/?pdmfid=1516831&amp;crid=5d295067-1e30-4597-bae4-770919553d2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lween+OR+Kuke+OR+Hsim+OR+Inle+Lake+OR+CAPS(Ma)+OR+Nanding+OR+Pang+OR+Pawn+OR+Pilu+OR+Teng+OR+Moei+OR+N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2dd21e56-25d2-4b5e-8616-173714335388" xr:uid="{C7FDD503-B311-4AE1-900C-ED8A92DAD145}"/>
    <hyperlink ref="I68" r:id="rId27" display="https://advance-lexis-com.ezproxy.library.tufts.edu/search/?pdmfid=1516831&amp;crid=910a8d5a-a503-4ad9-b40b-c6c3dabda93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Don)+OR+Kalaus+OR+Khoper+OR+Medreditsa+OR+Oskol+OR+Oz+Manych+Gudilo+OR+Sal+OR+Sir.+Donets+OR+Sosna+OR+Tsimlyanskoye+Vdkhr+OR+Vorona+OR+Voronez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 xr:uid="{685FB0C4-2DAF-4BDE-8096-F2BD985A5B08}"/>
    <hyperlink ref="I66" r:id="rId28" display="https://advance-lexis-com.ezproxy.library.tufts.edu/search/?pdmfid=1516831&amp;crid=c262fbc4-e51e-466f-9cd7-dedf985a91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nieper+OR+Byarezina+OR+Pinsk+Marshes+OR+Ptsich+OR+Sozh+OR+Iput%27+OR+Desna+OR+Dniepr+OR+Horyn%27+OR+Inhulets+OR+Kremenchats%27ke+Vdskh+OR+Prypyats%27+OR+Ps%27ol+OR+Seym+OR+Sluch+OR+Snov+OR+Stokhid+OR+Styr+OR+Sula+OR+Uzh+OR+Vopskla+O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ac210845-5016-4c9c-9cea-7e40c1c3ad78" xr:uid="{4C2536B2-D1C9-468D-8352-7C0ECC2637E9}"/>
    <hyperlink ref="I75" r:id="rId29" display="https://advance-lexis-com.ezproxy.library.tufts.edu/search/?pdmfid=1516831&amp;crid=2efcc3c1-efff-445c-a28b-5d6da530eda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Aguas+Limpias)+OR+Al+canadre+OR+Ara+OR+Aragon+OR+Arba+OR+Arga+OR+Barranco+El+Grado+OR+Bergantes+OR+Cinca+OR+Ebro+OR+Embalse+de+Santolea+OR+Embalse+de+Sotonera+OR+Embalse+de+Canelles+OR+Embalse+de+Mediano+OR+Embalse+de+Santa+Anna+OR+Embalse+de+Talarn+OR+Embalse+de+Yesa+OR+Embalse+de+Mequinenza+OR+Esca+OR+Escarra+OR+Esera+OR+Espot+OR+Gallego+OR+Guadalope+OR+Huerva+OR+Irati+OR+Jalon+OR+Jiloca+OR+Lago+Arriel+OR+Martcn+OR+Noguera+Pallaresa+OR+Noguera+Ribagorzana+OR+Panta+de+Riva-roga+OR+Peguera+OR+Pineta+OR+Riguel+OR+Segre+OR+Somero+OR+Urdicet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oc" xr:uid="{345FDCD9-B67C-491D-A11A-BD9BA26F34F0}"/>
    <hyperlink ref="I87" r:id="rId30" display="https://advance-lexis-com.ezproxy.library.tufts.edu/search/?pdmfid=1516831&amp;crid=424f41b8-eea6-4c7d-a141-d184de22df1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irth+OR+Joe+OR+Manch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22151f5d-1e04-42a1-8a68-d7956acc0dfd" xr:uid="{F81B56C5-B0F3-4D08-843F-9D35D2A333A9}"/>
    <hyperlink ref="I159" r:id="rId31" display="https://advance-lexis-com.ezproxy.library.tufts.edu/search/?pdmfid=1516831&amp;crid=811cb035-29ce-4c76-a48b-fd2ce38f520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uc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7491191-a269-4c88-adca-9c55da362b0d" xr:uid="{4E8BCD0E-C491-4E7F-A88E-A717EB337D08}"/>
    <hyperlink ref="I184" r:id="rId32" display="https://advance-lexis-com.ezproxy.library.tufts.edu/search/?pdmfid=1516831&amp;crid=df89cc60-a4b6-40f5-af62-80e7103cb05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Neg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7cf45134-0e9a-4554-acf9-d27cd7fb6e08" xr:uid="{9FE39808-2CCF-4FBD-9C82-5D8DB4C523F5}"/>
    <hyperlink ref="I188" r:id="rId33" xr:uid="{36263D83-F936-4761-A98E-F35378ACB237}"/>
    <hyperlink ref="I91" r:id="rId34" display="https://advance-lexis-com.ezproxy.library.tufts.edu/search/?pdmfid=1516831&amp;crid=f3a133da-90ab-4c4d-991c-bdd5938a5be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s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48c41af8-1dae-41be-b3c2-70390c3997b8" xr:uid="{AB813B3C-B2B6-4A71-BF5E-CBC746BE8FBB}"/>
    <hyperlink ref="I100" r:id="rId35" display="https://advance-lexis-com.ezproxy.library.tufts.edu/search/?pdmfid=1516831&amp;crid=0f78b520-0c71-424e-a2c8-2bd554a2f4b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Great)+Scarci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3c84cd28-db4f-4118-821f-7d4f84b30330" xr:uid="{94DC86E3-1678-4B83-89AB-198612A0B3C4}"/>
    <hyperlink ref="I119" r:id="rId36" display="https://advance-lexis-com.ezproxy.library.tufts.edu/search/?pdmfid=1516831&amp;crid=93d2dd1b-1bf9-4a63-872c-008deedb7d8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ordan+OR+CAPS(Dead+Sea)+OR+Sea+of+Galilee+OR+Nahr+az+Zarga+OR+Wadi+al+Jaydyb+OR+Yarmuk+OR+Yarmouk+OR+Hasb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efec660b-1716-4f2b-8a85-94c9da0c13fc" xr:uid="{3F649F1C-0337-4716-96DC-849174F05843}"/>
    <hyperlink ref="I139" r:id="rId37" display="https://advance-lexis-com.ezproxy.library.tufts.edu/search/?pdmfid=1516831&amp;crid=bbc1ca4c-226e-4f87-9467-0686d4c778a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Cay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c56d6623-ee53-4b67-8ffa-a33271ef8ac9" xr:uid="{5D9BBE7E-61FB-4528-AF98-B3A914B25900}"/>
    <hyperlink ref="I144" r:id="rId38" display="https://advance-lexis-com.ezproxy.library.tufts.edu/search/?pdmfid=1516831&amp;crid=9ef6968b-6c03-4728-87da-7e4549cf175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Prespa+OR+Frankovishte+OR+Grabovice+OR+Grunjas+OR+Hyle+OR+Jame+OR+Mujaz+OR+P.pusave+OR+Plloce+OR+Stropske+OR+Vakef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fe8ec578-ce27-40aa-bce7-5ca9fedf00c0" xr:uid="{43410029-9365-47C0-B621-A2B962F32E29}"/>
    <hyperlink ref="I153" r:id="rId39" display="https://advance-lexis-com.ezproxy.library.tufts.edu/search/?pdmfid=1516831&amp;crid=d0983342-b882-429b-83db-b8c543a6ffa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impopo+OR+Changane+OR+Elands+OR+Great+Brak+OR+Great+Letaba+OR+Klein+Olifants+OR+Olifants+OR+Oompies+OR+Bubi+OR+Insiza+OR+Mchabezi+OR+Mtshabezi+OR+Mwenezi+OR+Shashe+OR+Thali+OR+Tuli+OR+Umtsabezi+OR+Umzingw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cf38ca7d-24d2-46cd-84fb-dfb3433ad27c" xr:uid="{BD75BD50-00A2-486B-9FFF-8D15697D66D8}"/>
    <hyperlink ref="I166" r:id="rId40" xr:uid="{076704AE-E256-4295-9555-49C37EBB973B}"/>
    <hyperlink ref="I186" r:id="rId41" display="https://advance-lexis-com.ezproxy.library.tufts.edu/search/?pdmfid=1516831&amp;crid=6e05b0e1-55e4-4609-a31f-14a690c9111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irba+OR+Lagdo+Reservoir+OR+CAPS(Rey)+OR+O%3ATi-n-Amzi+OR+Milo+OR+Tinkisso+OR+Bagoe+OR+Bani+OR+Baoule+OR+Lac+Do+OR+Lac+Garou+OR+Lac+Aougoundou+OR+Lac+Korarou+OR+Lac+Niangay+OR+Lake+Debo+OR+Vallee+de+L%27azaouak+OR+Dallol+Bosso+OR+Eliki+OR+Mekrou+OR+Dinya+OR+Gongola+OR+Gurara+OR+Ka+OR+Kaduna+OR+Kainj+Lake+OR+Kam+OR+Katsin+a+Ala+OR+Niger+OR+Oli+OR+Sokoto+OR+Taraba+OR+Teshi+OR+Wase+OR+Zamfara+OR+Benu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ef65351d-a502-4433-9460-dc4b0d723102" xr:uid="{09A3C91D-2BD4-4070-8771-789368977AC4}"/>
    <hyperlink ref="I195" r:id="rId42" display="https://advance-lexis-com.ezproxy.library.tufts.edu/search/?pdmfid=1516831&amp;crid=970522fd-dbc3-4c91-aa1f-fb3de6c9f61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rtix+OR+Ulungur+Hu+OR+Ertis+OR+Marqukol+OR+Zaysan+Koli+OR+Agan+OR+Chulm+OR+Dem%27yanka+OR+Irtysh+OR+Iset%27+OR+Ishim+OR+Katun%27+OR+Kazum+OR+Ket%27+OR+Koli%27+yegan+OR+Lisitsa+OR+Ob+OR+Om%27+OR+Parabel+OR+Pelym+OR+Rim+OR+Sabun+OR+Tara+OR+Tavda+OR+Tobol+OR+Turtas+OR+Tym+OR+Uluyul+OR+Vagay+OR+Vakh+OR+Vasyug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ccee9752-cea4-445d-95ca-bb08c574434a" xr:uid="{025525E8-8C7D-4380-9F4E-AA8D11755451}"/>
    <hyperlink ref="I208" r:id="rId43" display="https://advance-lexis-com.ezproxy.library.tufts.edu/search/?pdmfid=1516831&amp;crid=e3e10000-b258-4ca4-9eb8-9ea230086a7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Paz))+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bce0cb8f-c516-449a-bf54-2712280d57bf" xr:uid="{AD3CF7D7-A4C6-4103-83F7-4C8ED82D5CCC}"/>
    <hyperlink ref="I277" r:id="rId44" xr:uid="{5BCD5341-ABAC-429F-9107-3B55CF7A2A78}"/>
    <hyperlink ref="I202" r:id="rId45" xr:uid="{B85E5C5B-F763-4B2D-9794-C86F2C954B9A}"/>
    <hyperlink ref="I218" r:id="rId46" display="https://advance-lexis-com.ezproxy.library.tufts.edu/search/?pdmfid=1516831&amp;crid=2ea6f4e4-1110-4f21-be90-6ed4c62c2c7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scu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5a37053e-c4dc-4d33-b80c-af6f5e1a27f9" xr:uid="{8AE4A269-A887-4085-86C9-A817EC81963A}"/>
    <hyperlink ref="I232" r:id="rId47" display="https://advance-lexis-com.ezproxy.library.tufts.edu/search/?pdmfid=1516831&amp;crid=ebf6eeee-69af-4dde-90b1-959f8f3e3fb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Geneva+OR+CAPS(Rotten)+OR+Aigues+OR+Ain+OR+Arc+OR+Ardeche+OR+Arly+OR+Asse+OR+Balaing+OR+Buech+OR+Cenise+OR+Dorinet+OR+Doron+De+Beaufort+OR+Doubs+OR+Drac+OR+Drome+OR+Durance+OR+Eau+D%27Olle+OR+Fier+OR+Flumet+OR+Gees+OR+Geez+OR+Grosne+OR+Infernet+OR+Lac+d%27anneay+OR+Lac+de+Serre-ponson+OR+Lac+du+Bourget+OR+Lac+Leman+OR+Lone+OR+Poncellamont+OR+Rhone+OR+Riou+OR+Rious+Gras+OR+Romanche+OR+Saone+OR+Torrent+de+la+Sassiere+OR+Verdan+OR+Veyle+OR+Ise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 xr:uid="{0FC49EC2-0D15-412E-93DC-F59BD412B455}"/>
    <hyperlink ref="I253" r:id="rId48" display="https://advance-lexis-com.ezproxy.library.tufts.edu/search/?pdmfid=1516831&amp;crid=897b581a-18bc-4d4b-8405-4dc7bcfef74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Joh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68923eba-0f91-40c2-859c-8f496864540d" xr:uid="{1E498EF3-AE8F-41A7-B9CF-20F289E4A01C}"/>
    <hyperlink ref="I270" r:id="rId49" display="https://advance-lexis-com.ezproxy.library.tufts.edu/search/?pdmfid=1516831&amp;crid=7f33ffd8-5b4d-413c-9dc9-11ea05bdc54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ku+OR+Inklin+OR+Nahlin+OR+Nakina+OR+Shes+Lay+OR+Slok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99aab8d8-517d-4f04-9250-ddb14c2762bb" xr:uid="{516F7E9C-CE9C-460F-9F77-D74040039A3C}"/>
    <hyperlink ref="I282" r:id="rId50" display="https://advance-lexis-com.ezproxy.library.tufts.edu/search/?pdmfid=1516831&amp;crid=b75180d5-a5d7-4a4d-9ea6-866758a17f7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uloma+OR+Iova+OR+Kovda+OR+Lotta+OR+Paz+OR+Tuloma+OR+Verhnetulomskoe+OR+Voroni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8659fc5-873d-40a3-9e7d-6ce5941ad31a" xr:uid="{6F534F98-4614-42A4-A12C-75E1D330F68F}"/>
    <hyperlink ref="I297" r:id="rId51" display="https://advance-lexis-com.ezproxy.library.tufts.edu/search/?pdmfid=1516831&amp;crid=e3da6b55-934f-47b5-8184-0cfc958985e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olta+OR+Massili+OR+Mouhoun+OR+CAPS(Black+Volta)+OR+Nakanbe+OR+CAPS(White+Volta)+OR+Nazinon+OR+CAPS(Red+Volta)+OR+Nkambe+OR+Volta+Blanche+OR+Daka+OR+Kulpawn+OR+Oti+OR+To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2b50beb2-e072-4297-b381-b67d966993ed" xr:uid="{7A140763-7FB9-48DA-8C39-5CB6900F9D75}"/>
    <hyperlink ref="I294" r:id="rId52" display="https://advance.lexis.com/search/?pdmfid=1516831&amp;crid=a6535112-0953-46fc-a2b5-7286550cee7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ijose+OR+Brete+OR+Caush+OR+Cekreze+OR+Cycen+OR+Divjak+OR+Drin+OR+Dukaj+OR+Dushk+OR+Erzen+OR+Gadurove+OR+Germet+OR+Gjanice+OR+Gjokaj+OR+Gjynagal+OR+Holte+OR+Karbunar+OR+Kryekugi+OR+Malthike+OR+Manastir+OR+Manasufaj+OR+Morush+OR+Murriz+OR+Nashies+OR+P.+madh+OR+Paskugan+OR+Pellg+OR+Perit+OR+Petresh+OR+Peze+OR+Prroi+I+zi+OR+Prroji+arrave+OR+Prroji+buzit+OR+Prroji+zi+OR+Purrez+OR+Sauk+OR+Shegas+OR+Shkumbin+OR+Shupal+OR+Skrevanit+OR+Subloze+OR+Suka+OR+Tapize+OR+Teplas+OR+Terkuze+OR+Tirane+OR+Tomorrice+OR+Uji+mbare+OR+Vashaj+OR+Vinokash+OR+Vrap+OR+Zajce+OR+Zh.I+kuq+OR+Aoos+OR+Vjos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oc" xr:uid="{A23F8AD9-7D26-4816-9465-FEE7BBFBBE2B}"/>
    <hyperlink ref="I301" r:id="rId53" display="https://advance.lexis.com/search/?pdmfid=1516831&amp;crid=cc5c457a-ae25-4fb3-836c-86d495a4050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Whiting)+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27c491ae-e88a-432a-b97e-eae8036d8188" xr:uid="{FC3ECEF8-31FA-4B5F-A563-C38718E5ED7C}"/>
    <hyperlink ref="I314" r:id="rId54" display="https://advance.lexis.com/search/?pdmfid=1516831&amp;crid=6f6aff15-79ce-4402-9375-39eef31ab53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a+OR+Silala+OR+Siloli+OR+Inacaliri+OR+Cajon+OR+San+Pedro+OR+Salado+OR+Toconc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6e023950-120a-422c-8dc8-29fc1cb15df8" xr:uid="{E2D8C1AC-E6B1-4455-810D-16C010F48177}"/>
    <hyperlink ref="I309" r:id="rId55" xr:uid="{4A469965-2328-40AE-B11C-EEAFE1DF888E}"/>
    <hyperlink ref="I86" r:id="rId56" xr:uid="{15E77113-E56B-4E21-97BD-DA49D4F00B9F}"/>
    <hyperlink ref="I189" r:id="rId57" display="https://advance-lexis-com.ezproxy.library.tufts.edu/search/?pdmfid=1516831&amp;crid=98c387e3-0b58-4bea-a678-a6979296eda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eman+OR+Byarezina+OR+Isloch%27+OR+Kotra+OR+Mowchadz+OR+Shchara+OR+Srislach+OR+Usa+OR+Viliya+OR+Voz.+Narach+OR+Voz.+Srir+OR+Vynya+OR+Zal%27ryanka+OR+Akmend+OR+Dievogala+OR+Dubysa+OR+Dusia+OR+Grauze+OR+Jura+OR+Mitura+OR+Nemunas+OR+Neris+OR+Nevezis+OR+Nova+OR+Obelis+OR+Ova+OR+Sesuris+OR+Striuna+OR+Susre+OR+Sventoj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3074BC48-2194-4849-81BD-932F11522E00}"/>
    <hyperlink ref="I223" r:id="rId58" display="https://advance-lexis-com.ezproxy.library.tufts.edu/search/?pdmfid=1516831&amp;crid=5d7c7520-e588-4ffb-832f-41ab60e03f3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u+Lun+T%27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DA0F2A09-13DD-4E87-9B2D-DA1C85C1C8B0}"/>
    <hyperlink ref="I99" r:id="rId59" display="https://advance-lexis-com.ezproxy.library.tufts.edu/search/?pdmfid=1516831&amp;crid=85ff7ff7-204f-4222-ba1c-ba1508195f0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ruzskiy+Yelanch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D9BD164F-6037-4625-AF42-AFE633D81CC6}"/>
    <hyperlink ref="I289" r:id="rId60" display="https://advance-lexis-com.ezproxy.library.tufts.edu/search/?pdmfid=1516831&amp;crid=15d6bb0c-18ad-44e4-8561-d2855ef6977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animo+OR+CAPS(Gre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04EEDBD7-0ACB-490E-AEA7-2AC8DA9E0089}"/>
    <hyperlink ref="I299" r:id="rId61" display="https://advance-lexis-com.ezproxy.library.tufts.edu/search/?pdmfid=1516831&amp;crid=d1590155-18f6-4451-a50d-4a879ffa9bb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istula+OR+Wista+OR+Lyasnaya+OR+Mukhavyets+OR+Ryta+OR+Biata+OR+Biatka+OR+Bug+OR+Bystrzyca+OR+Bzura+OR+Czarna+OR+Drweca+OR+Dtubnia+OR+Dunajec+OR+Itzanka+OR+Jezioro+Jeziorak+OR+Jeziorka+OR+Krzna+OR+CAPS(Leg)+OR+Liwiec+OR+Lubuczowka+OR+Mtawka+OR+Nida+OR+Nurzec+OR+Ostaroa+OR+Pilica+OR+Raba+OR+Radomka+OR+Rzadza+OR+CAPS(San)+OR+Skrwa+OR+Sona+OR+Swider+OR+Wieprz+OR+Wistok+OR+Wistoka+OR+Wkra+OR+Wolica+OR+Zielawa+OR+Ozera+Svityaz%27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oc" xr:uid="{209AC52D-B84E-4E2A-B334-4FD111A1A2B2}"/>
    <hyperlink ref="I247" r:id="rId62" display="https://advance-lexis-com.ezproxy.library.tufts.edu/search/?pdmfid=1516831&amp;crid=404a4723-3730-46ec-826a-fb9b7369bc1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no+Union+OR+Serra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086A05EA-FEFC-4D94-92A3-3CF0B2C83E41}"/>
    <hyperlink ref="I131" r:id="rId63" display="https://advance-lexis-com.ezproxy.library.tufts.edu/search/?pdmfid=1516831&amp;crid=c0ef51f4-ad4e-45e5-a38a-ef42e16a685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ura+OR+Araks+OR+Azat+OR+Lori+OR+Mingacevir+Reservior+OR+Aragvi+OR+Iori+OR+Khrami+OR+Ahar+OR+Ajy+Chay+OR+Aras+OR+Qare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8E2550B5-18C2-4A57-9936-91CE97D0AC51}"/>
    <hyperlink ref="I163" r:id="rId64" display="https://advance-lexis-com.ezproxy.library.tufts.edu/search/?pdmfid=1516831&amp;crid=b1b69dc8-f92e-4efb-9e30-d7acd3d4019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Ma)+OR+He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69060BD2-CCB2-4319-AF73-5EF7F9F99D55}"/>
    <hyperlink ref="I313" r:id="rId65" display="https://advance-lexis-com.ezproxy.library.tufts.edu/search/?pdmfid=1516831&amp;crid=b410f756-f4b2-4e04-8fc5-9b4963a7054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ms+OR+Eems+OR+Westerwoldse+Aa+OR+Dollart+OR+Dollard+OR+Werse+OR+Munstersche+Aa+OR+Hunze+OR+Drentsche+A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6461AF24-A0FA-4D43-8A31-02613BC43066}"/>
    <hyperlink ref="I273" r:id="rId66" display="https://advance-lexis-com.ezproxy.library.tufts.edu/search/?pdmfid=1516831&amp;crid=ce420ca5-55f7-4750-b003-8a5e0da6d50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na+OR+Anarjohka+OR+Karasjok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E2BCDBAA-4CC3-48A4-8D47-DA86F837E31E}"/>
    <hyperlink ref="I254" r:id="rId67" display="https://advance-lexis-com.ezproxy.library.tufts.edu/search/?pdmfid=1516831&amp;crid=e6db0760-1780-4137-84db-88742aa0209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John+OR+Canaan+OR+Monquart+OR+Saint+John+OR+Sisson+OR+Thames+OR+CAPS(Verde)+OR+Allasash+OR+CAPS(Eagle+Lake)+OR+CAPS(Fish)+OR+CAPS(Long+Lake)+OR+Munsungan+lake+OR+Musquacook+Lakes+OR+CAPS(Round+Pond)+OR+Sqnapan+Lake+OR+Umsaskis+Lak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5C693609-65F3-4ECA-9F3B-9C300A97ED49}"/>
    <hyperlink ref="I242" r:id="rId68" display="https://advance-lexis-com.ezproxy.library.tufts.edu/search/?pdmfid=1516831&amp;crid=954a9d59-4b8a-45a9-8833-f1d4630751e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ssandra+OR+Lac+de+Buyo+OR+Lobo+OR+Nz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6D334E93-78C0-4BF0-B1A1-F3A37D8A3579}"/>
    <hyperlink ref="I235" r:id="rId69" display="https://advance-lexis-com.ezproxy.library.tufts.edu/search/?pdmfid=1516831&amp;crid=c971f881-d257-4cb1-a728-1a6ccfcd6ed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bi+OR+Lake+Muririkwi+OR+Maroro+OR+Mukwadzi+OR+Munene+OR+Muneni+OR+Musongwa+OR+Mutirikwi+OR+Mutorashanga+OR+Mwarazi+OR+Ngezi+OR+Odzani+OR+Odzi+OR+Runde+OR+Squatodz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E0D7BBC4-ED54-485F-A99D-3ED46D973BB8}"/>
    <hyperlink ref="I229" r:id="rId70" display="https://advance-lexis-com.ezproxy.library.tufts.edu/search/?pdmfid=1516831&amp;crid=3c90d510-e0a3-43d1-9d18-170dc52f03f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Rio+Grande)+OR+CAPS(Grande)+OR+Hurtad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C21A940F-6760-4627-B2D6-1F0013F49776}"/>
    <hyperlink ref="I203" r:id="rId71" xr:uid="{6158E468-7CED-4E95-9518-793D1B9025C9}"/>
    <hyperlink ref="I185" r:id="rId72" xr:uid="{84E8202D-AF5F-41A8-9721-EAB28A39471D}"/>
    <hyperlink ref="I152" r:id="rId73" display="https://advance-lexis-com.ezproxy.library.tufts.edu/search/?pdmfid=1516831&amp;crid=0b81513b-4f4a-4c2b-8ad2-ec8ace7d70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empa+OR+Lago+de+Guya+OR+CAPS(Grande)+OR+Embalse+Cerron+Grand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C7162686-B664-4A76-A8DC-482BFA7BE23B}"/>
    <hyperlink ref="I143" r:id="rId74" display="https://advance-lexis-com.ezproxy.library.tufts.edu/search/?pdmfid=1516831&amp;crid=1fb50ed1-dba8-464e-bb1a-8cdd8f122d0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Natron+OR+Ewaso+Ng%27i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12F701FD-490D-40FE-B7D5-F7FCF94C36CF}"/>
    <hyperlink ref="I137" r:id="rId75" display="https://advance-lexis-com.ezproxy.library.tufts.edu/search/?pdmfid=1516831&amp;crid=ad300935-37ab-488a-aef9-d5848182867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Chad+OR+Bamingui+OR+Bangoran+OR+Bongoul+OR+Goro+OR+Gribingui+OR+Kamear+OR+Manovo+OR+Ouandja+OR+Ouham+OR+Oulou+OR+Pende+OR+Vakaga+OR+Vassako+OR+Yata+OR+Dillia+OR+Tegouma+OR+Kano+OR+Katagum+OR+Komadugu+Gana+OR+Ngadda+OR+Yedseram+OR+Wadi+Tiwal+OR+Ba+illi+OR+Bahr+Aoak+OR+Bahr+Azourn+OR+Bahr+el+Ghazal+OR+Soro+OR+Bahr+Ergig+OR+Bahr+Keita+OR+Doka+OR+Bahr+Salamat+OR+Chari+OR+Logo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B7BDE458-AB10-4088-A234-2FC902B5051F}"/>
    <hyperlink ref="I118" r:id="rId76" display="https://advance-lexis-com.ezproxy.library.tufts.edu/search/?pdmfid=1516831&amp;crid=28bfac80-0b01-4800-b385-8bdcaf7b108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acob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75496756-670B-4DDB-B297-3446F0EEEA98}"/>
    <hyperlink ref="I108" r:id="rId77" display="https://advance-lexis-com.ezproxy.library.tufts.edu/search/?pdmfid=1516831&amp;crid=0a5140c4-c1d1-45a1-aca1-ff9ae32cbe5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ondo+OR+CAPS(Azu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 xr:uid="{2F749BAF-05CE-430E-8742-3C88DE8B277E}"/>
    <hyperlink ref="I90" r:id="rId78" xr:uid="{36288E87-FEEC-457A-AB33-4B7BC2117B4E}"/>
    <hyperlink ref="I74" r:id="rId79" xr:uid="{36289551-8D95-49F7-A4B4-3CF126C5B022}"/>
    <hyperlink ref="I61" r:id="rId80" display="https://advance-lexis-com.ezproxy.library.tufts.edu/search/?pdmfid=1516831&amp;crid=0ac2b69f-d5f6-416f-9c47-281b1f23a0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ull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3092d136-ec6e-43bd-89c2-d8aa8d65e64e" xr:uid="{7A77C863-A27C-4C96-AE08-45DC70FB5E9A}"/>
    <hyperlink ref="I257" r:id="rId81" xr:uid="{759B5676-7F9A-4834-B51C-84AB6F8FC96A}"/>
    <hyperlink ref="I306" r:id="rId82" display="https://advance-lexis-com.ezproxy.library.tufts.edu/search/?pdmfid=1516831&amp;crid=ceb58b91-3ec9-489b-8135-ba651c40bc8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enisej+OR+Yenisey+OR+Angara+OR+Bakhta+OR+Bol+Kheta+OR+Braskove+Vdkhr+OR+Chadobets+OR+Chuna+OR+Egiyn+OR+Hanuy+OR+Ider+OR+Ilim+OR+Irkut+OR+Kan+OR+Kas+OR+Kochechan+OR+Nidym+OR+Nizhnyaya+Tunguska+OR+Oka+OR+Ornon+OR+Oz.+Keta+OR+Oz.+Khantayskoye+OR+Oz.+Pyasino+OR+Oz.+Agaa+OR+Ozero+Baykal+OR+Ozero+Lama+OR+Podkamennaya+Tunguska+OR+Selenge+OR+Sym+OR+Taymura+OR+Tembenchi+OR+Turu+OR+Tutonchana+OR+Uchami+OR+Uda+OR+Vel%27mo+OR+Vivi+OR+Yeloguy+OR+Yenise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oc" xr:uid="{989124B3-D079-4743-88D3-19A5B23763AB}"/>
    <hyperlink ref="I315" r:id="rId83" display="https://advance-lexis-com.ezproxy.library.tufts.edu/search/?pdmfid=1516831&amp;crid=b08cd61a-5aff-41bc-be32-bf72221ce63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roundwater*+OR+aquifer*+OR+%22ground+water*%22+)+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2e92158f-e9cc-488b-8cf2-fe4574f08300" xr:uid="{01CDD993-FCD5-4F92-A869-EBEC0EEC8A62}"/>
    <hyperlink ref="I244" r:id="rId84" display="https://advance.lexis.com/search/?pdmfid=1516831&amp;crid=91b0ae20-203a-4d28-ad82-609da86e439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Croix+OR+Chiputneticoo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qxLg9kk&amp;earg=pdpsf&amp;prid=8d142b6a-d4c7-4724-9f85-903874b8df96" xr:uid="{3CF8B8AE-2FEF-45F2-94C3-ECBA1D80C30B}"/>
    <hyperlink ref="I304" r:id="rId85" display="https://advance-lexis-com.ezproxy.library.tufts.edu/search/?pdmfid=1516831&amp;crid=bd61bc14-5110-472a-9268-b6b77375e5c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ros+OR+Laguna+de+los+Mexicanos+OR+Nacozari+OR+Papigochic+OR+Presu+de+la+Angostura+OR+Santa+Maria+OR+Tomochic+OR+Tutuaca+OR+Yaqu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 xr:uid="{411D9B0D-9476-43CB-B914-C83B218A3844}"/>
    <hyperlink ref="I296" r:id="rId86" display="https://advance-lexis-com.ezproxy.library.tufts.edu/search/?pdmfid=1516831&amp;crid=d3214556-ec66-4938-ac5a-5d7dcb63d23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olga+OR+Sheks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 xr:uid="{5F50BFDE-EBE5-48E2-B168-B00F3A965134}"/>
    <hyperlink ref="I278" r:id="rId87" display="https://advance-lexis-com.ezproxy.library.tufts.edu/search/?pdmfid=1516831&amp;crid=22b4d840-6502-491f-b4f5-58020c960aa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ijua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 xr:uid="{0D5B0593-58FF-4FEF-ACD2-F85ACBF1361E}"/>
    <hyperlink ref="I269" r:id="rId88" xr:uid="{F7A97937-E8B4-441C-81CD-A359C3BFAF46}"/>
    <hyperlink ref="I256" r:id="rId89" display="https://advance-lexis-com.ezproxy.library.tufts.edu/search/?pdmfid=1516831&amp;crid=e0b96ec5-1afe-4be1-945a-83e47861026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kagi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 xr:uid="{9BEA5994-5B7C-40CE-95BD-E2D411C25367}"/>
    <hyperlink ref="I251" r:id="rId90" display="https://advance-lexis-com.ezproxy.library.tufts.edu/search/?pdmfid=1516831&amp;crid=5a18ff56-b1ae-4eda-8e87-6c974a868c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hu+OR+Ch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 xr:uid="{8AD39485-D9BC-466B-918B-5F28BFBAE219}"/>
    <hyperlink ref="I76" r:id="rId91" display="https://advance-lexis-com.ezproxy.library.tufts.edu/search/?pdmfid=1516831&amp;crid=9eec26f9-71d1-4593-97d6-02fbf647ebc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lbe+OR+Bilina+OR+Moricuv+potok+OR+Mze+OR+Odrava+OR+Ohre+OR+Ploucnice+OR+Radbuza+OR+Tepla+OR+Aland+OR+Alster+OR+Biese+OR+Bleiloch+Talsperre+OR+Bode+OR+Do+sse+OR+Dumme+OR+Ehle+OR+Fiener+Bruch+OR+Fuhne+OR+Havel+OR+Ilm+OR+Jeetzel+OR+Kalte+Bode+OR+Milde+OR+Mulde+OR+Rappbode+OR+Saale+OR+Schaal+see+OR+Schilde+OR+Schwarze+Elster+OR+Selke+OR+Stepenitz+OR+Stor+OR+Sude+OR+Uchte+OR+Wipper+OR+Zillierbac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557a7b65-7153-418e-882c-c69412ac0387" xr:uid="{4A7BB921-9A09-4B2C-85BC-77BD3D287D69}"/>
    <hyperlink ref="I88" r:id="rId92" display="https://advance-lexis-com.ezproxy.library.tufts.edu/search/?pdmfid=1516831&amp;crid=356e8c8c-671d-468a-8f91-e24c3269bf3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llegos+OR+CAPS(Chic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29%2F2008to06%2F30%2F2023%7Cdatebetween&amp;pdfromadvancedsearchpage=true&amp;ecomp=qxLg9kk&amp;earg=pdpsf&amp;prid=361ae249-1b51-4f8d-974c-4ffbfafa8386" xr:uid="{378571B0-A381-4156-82A1-63FE8A5BAE68}"/>
    <hyperlink ref="I93" r:id="rId93" display="https://advance-lexis-com.ezproxy.library.tufts.edu/search/?pdmfid=1516831&amp;crid=3700c62c-6be9-45f1-9c06-333bfe0bb40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rijalva+OR+Grijalva+OR+CAPS(Azu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d5b0e834-c850-4903-b587-5d382a230411" xr:uid="{C7BB5754-3373-410C-83E6-742AD4551C45}"/>
    <hyperlink ref="I104" r:id="rId94" display="https://advance-lexis-com.ezproxy.library.tufts.edu/search/?pdmfid=1516831&amp;crid=c5f0c1b9-010f-43db-9a21-bd1b3812209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pyung+OR+Banbyon+OR+Bongjeon+OR+Buk+OR+Chachon+OR+Chongyong+OR+Chungdo+OR+Dae+OR+Donghwa+OR+Eumsung+OR+Gabsan+OR+Geumho+OR+Geumpo+OR+Gisegok+OR+Guan+OR+Gugeo+OR+Gumi+OR+Gupyung+OR+Gyungho+OR+CAPS(Han)+OR+Hangye+OR+Ieon+OR+Ilgwang+OR+Janggok+OR+Jangsu+OR+Jasan+OR+Jinchon+OR+Jinwi+OR+Jongri+OR+Joryong+OR+Jungdong+OR+Milwon+OR+Mulchi+OR+Munam+OR+Myungam+OR+Naega+OR+Naesung+OR+Nakdong+OR+Namhan+OR+Pumgok+OR+Sagae+OR+Samgi+OR+Seokhwa+OR+Soga+OR+Suyeong+OR+Suyong+OR+Wangjwa+OR+Woldong+OR+Yo+OR+Yongchon+OR+Yongge+OR+Yongwoon+OR+Chongryong+OR+Hancho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oc" xr:uid="{2B536818-E82E-4FF1-B24E-05F44E3A3E5F}"/>
    <hyperlink ref="I120" r:id="rId95" display="https://advance-lexis-com.ezproxy.library.tufts.edu/search/?pdmfid=1516831&amp;crid=e74ae721-8912-4969-87b5-2fab8e37572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uba+OR+Shibeli+OR+Baua+OR+Daketa+OR+Fafen+OR+Genale+OR+Jerer+OR+Ramis+OR+T%27er+OR+Wabe+Gestro+OR+Wabe+Shebele+OR+Welmel+OR+Dawa+OR+Madax+Gooy+OR+Webi+Shabell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3450c861-2b6a-4fb9-9693-033ae8d8a687" xr:uid="{7E30E88E-3482-469B-A526-3C3F4751A372}"/>
    <hyperlink ref="I114" r:id="rId96" display="https://advance-lexis-com.ezproxy.library.tufts.edu/search/?pdmfid=1516831&amp;crid=da216ebb-9541-4eee-883e-7ba82ec01ff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ndus+OR+Shiqnan+OR+Aarzan+Garzan+OR+Beas+OR+Bodhegaon+OR+Gilgit+OR+Jogwada+OR+Koyna+OR+Kundlika+OR+Saraswati+OR+Sindphana+OR+Chenab+OR+Haro+OR+Jamergal+OR+Jhelum+OR+Kabul+OR+Khal+Kass+OR+Kundar+OR+Manch+har+Lake+OR+Nain+Sikh+OR+Ravi+OR+Saddle+Dam+OR+Sutlej+OR+Swat+OR+Tain+Pura+OR+Zhob)+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3%2F05%2F2024%7Cdatebetween&amp;pdfromadvancedsearchpage=true&amp;ecomp=qxLg9kk&amp;earg=pdpsf&amp;prid=3003265a-f001-443f-99b5-135de3011c66" xr:uid="{7C9F3EB2-35CA-4494-BF00-08258635FBE1}"/>
    <hyperlink ref="I157" r:id="rId97" xr:uid="{2931DBDD-2FA4-4778-A36C-898A3D12D9E0}"/>
    <hyperlink ref="I170" r:id="rId98" xr:uid="{9192FA06-C85B-409E-A755-6902AF3852B6}"/>
    <hyperlink ref="I225" r:id="rId99" display="https://advance-lexis-com.ezproxy.library.tufts.edu/search/?pdmfid=1516831&amp;crid=1313aee7-80c2-41f3-be7a-7d8875e9cb5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Rann+of+Kutc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xxLg9kk&amp;earg=pdpsf&amp;prid=7933c74d-4fd2-41c1-8403-408d4d057d07" xr:uid="{BE29872F-8EAC-41E8-96B1-0DD26A335634}"/>
    <hyperlink ref="I2" r:id="rId100" display="https://advance-lexis-com.ezproxy.library.tufts.edu/search/?pdmfid=1516831&amp;crid=fec62cbd-b7b8-4d21-88a4-2032ad75d6b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dig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 xr:uid="{A6143FCF-B9A4-4E43-8F56-3B3DE28CD5E9}"/>
    <hyperlink ref="I3" r:id="rId101" display="https://advance-lexis-com.ezproxy.library.tufts.edu/search/?pdmfid=1516831&amp;crid=57793ffd-53d5-4693-8e20-0f0093f7414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kp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 xr:uid="{84C8D38B-96B0-45AB-8363-95D38A4C7D87}"/>
    <hyperlink ref="I4" r:id="rId102" display="https://advance-lexis-com.ezproxy.library.tufts.edu/search/?pdmfid=1516831&amp;crid=70807c1d-644d-4515-8945-8dcc70ca15b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lako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 xr:uid="{1FE3CA09-3521-43EA-81C0-9095DE35535B}"/>
    <hyperlink ref="I5" r:id="rId103" display="https://advance-lexis-com.ezproxy.library.tufts.edu/search/?pdmfid=1516831&amp;crid=2d355827-c7a2-4149-981f-5a23811f127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lsek+OR+Bates+Lak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 xr:uid="{7B5567B3-EDA9-40D0-897E-518F0952A7BA}"/>
    <hyperlink ref="I6" r:id="rId104" display="https://advance-lexis-com.ezproxy.library.tufts.edu/search/?pdmfid=1516831&amp;crid=f527046e-bb0e-4f82-9a1a-3d513f064c5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macu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 xr:uid="{2FFCDF74-589F-4A6E-9DC9-B9D59653D658}"/>
    <hyperlink ref="I9" r:id="rId105" display="https://advance-lexis-com.ezproxy.library.tufts.edu/search/?pdmfid=1516831&amp;crid=cc93a4c4-5e84-47b0-b381-745024f8ec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Nahr+Al+Kabir+OR+Nahr+Ibrahi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 xr:uid="{2E40F5F2-D844-4838-BAB7-AEC77A0FD53D}"/>
    <hyperlink ref="I10" r:id="rId106" display="https://advance-lexis-com.ezproxy.library.tufts.edu/search/?pdmfid=1516831&amp;crid=5cc87410-4e22-46a3-834d-e1dd20f5ca4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germ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11f9a7c2-3787-4e1f-abf0-aa84db7ef7dc" xr:uid="{2FF7EBFC-5215-4CC4-8ED5-0A811490C58B}"/>
    <hyperlink ref="I12" r:id="rId107" display="https://advance-lexis-com.ezproxy.library.tufts.edu/search/?pdmfid=1516831&amp;crid=5123f8a8-66d5-412b-9e68-8108147f301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ral+OR+Syr+Daria+OR+Naryn+OR+Amu+Daria+OR+Syr+Darya+OR+Amu+Darya+OR+Akhangaran+OR+Chirch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D6BFC3BD-B0AB-4452-ABCE-24121F5976D5}"/>
    <hyperlink ref="I13" r:id="rId108" display="https://advance-lexis-com.ezproxy.library.tufts.edu/search/?pdmfid=1516831&amp;crid=125e1e8b-67f5-41c6-9bc4-892d7f24c17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si+OR+Orontes+OR+Amik+Gol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E8A637F3-D99A-4D8F-9495-A0B24EBF07F3}"/>
    <hyperlink ref="I14" r:id="rId109" display="https://advance-lexis-com.ezproxy.library.tufts.edu/search/?pdmfid=1516831&amp;crid=1c630e8f-6daf-4129-b0df-b86e28979d7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rtibonite+OR+Depelig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097D5A6A-AD10-4929-B253-D6A15169C512}"/>
    <hyperlink ref="I15" r:id="rId110" display="https://advance-lexis-com.ezproxy.library.tufts.edu/search/?pdmfid=1516831&amp;crid=9908ff38-8b27-4fe7-b8b0-a20e85ff405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stara+Cha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2E7070D8-49EC-46FF-BFD3-4DD1BEB20560}"/>
    <hyperlink ref="I16" r:id="rId111" display="https://advance-lexis-com.ezproxy.library.tufts.edu/search/?pdmfid=1516831&amp;crid=d7c8c0bd-2a77-4637-87c0-4bda5500c8a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trak+OR+Sumbe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42E070A5-CD29-44D2-B408-57355606E68A}"/>
    <hyperlink ref="I17" r:id="rId112" display="https://advance-lexis-com.ezproxy.library.tufts.edu/search/?pdmfid=1516831&amp;crid=8c2a0306-6bd5-43e9-9f2f-e43f1615652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vil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CA280D45-BC05-4F86-8B81-346C90EEA4BC}"/>
    <hyperlink ref="I18" r:id="rId113" display="https://advance-lexis-com.ezproxy.library.tufts.edu/search/?pdmfid=1516831&amp;crid=13500b23-77c4-4282-8bd0-7f0e38d4fe6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bhe+Bid+Hayak+OR+Awash+OR+Finochaa+OR+Gemeri+Hayak+OR+Petit+Akabi+OR+Sendaf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E441BEFB-B26A-453A-BA07-2D5C6406F10A}"/>
    <hyperlink ref="I19" r:id="rId114" display="https://advance-lexis-com.ezproxy.library.tufts.edu/search/?pdmfid=1516831&amp;crid=d8fcd9d3-f35d-406d-9efc-b83edc6b50e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ys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3C7C0055-DBFB-48D4-BA98-0C733F69E3B6}"/>
    <hyperlink ref="I21" r:id="rId115" display="https://advance-lexis-com.ezproxy.library.tufts.edu/search/?pdmfid=1516831&amp;crid=bdf289b9-2548-42b2-a0c9-f8d1687acb8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nn+OR+CAPS(Black+Water)+OR+Laugh+Neagh+OR+CAPS(Lower+Laugh)+Eri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33EF9292-09FB-4D64-8E39-B30F3CE470F6}"/>
    <hyperlink ref="I22" r:id="rId116" display="https://advance-lexis-com.ezproxy.library.tufts.edu/search/?pdmfid=1516831&amp;crid=05dd58a7-7328-4bd8-be6c-fab6fa677d8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hr+at+Tuba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EEBBEC94-8FB9-4647-A94F-8E2BD6C3553F}"/>
    <hyperlink ref="I23" r:id="rId117" display="https://advance-lexis-com.ezproxy.library.tufts.edu/search/?pdmfid=1516831&amp;crid=f5c75d3c-cf7a-4550-ba19-5bd871ca8a5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idaso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70622D01-8248-4E3B-8F20-DB74142DDAB8}"/>
    <hyperlink ref="I25" r:id="rId118" display="https://advance-lexis-com.ezproxy.library.tufts.edu/search/?pdmfid=1516831&amp;crid=92b2a1b4-db1b-411e-8c2e-920b95ed23d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B1E50ADB-2E56-4AC9-B38C-E7C2E5D3DBEC}"/>
    <hyperlink ref="I26" r:id="rId119" display="https://advance-lexis-com.ezproxy.library.tufts.edu/search/?pdmfid=1516831&amp;crid=e888d314-77f7-4e3f-a2f1-865073da9bb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ilu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6F526AEA-4F75-4391-9A81-190C0BFA3E29}"/>
    <hyperlink ref="I27" r:id="rId120" display="https://advance-lexis-com.ezproxy.library.tufts.edu/search/?pdmfid=1516831&amp;crid=f7b4e445-5373-4006-aeb7-2496d0d5212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lize+OR+Mop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347505B1-27EF-4242-9D1F-327B82E633D0}"/>
    <hyperlink ref="I28" r:id="rId121" display="https://advance-lexis-com.ezproxy.library.tufts.edu/search/?pdmfid=1516831&amp;crid=180415c0-8e43-4520-8653-869158ff96b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nga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4BC13F98-E61D-40F7-8DD1-4EB231DB8A28}"/>
    <hyperlink ref="I29" r:id="rId122" display="https://advance-lexis-com.ezproxy.library.tufts.edu/search/?pdmfid=1516831&amp;crid=41dc382b-a91d-42df-85a9-8090b5e4ac7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ed+Bou+Namouss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C2FF21DF-8A04-4C45-A054-EFA9FAD1540D}"/>
    <hyperlink ref="I30" r:id="rId123" display="https://advance-lexis-com.ezproxy.library.tufts.edu/search/?pdmfid=1516831&amp;crid=5cfdbf52-01c6-4ea6-a2f1-45a00a7aa49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rbyelv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CF72BF02-DE49-48FD-B1D6-28B27D0CA106}"/>
    <hyperlink ref="I31" r:id="rId124" display="https://advance-lexis-com.ezproxy.library.tufts.edu/search/?pdmfid=1516831&amp;crid=a82cb786-4b70-48df-b5a3-d11279eb2ba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ra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415E7BB6-87D0-4866-8DAB-2D70650924F3}"/>
    <hyperlink ref="I32" r:id="rId125" display="https://advance-lexis-com.ezproxy.library.tufts.edu/search/?pdmfid=1516831&amp;crid=cbc2aefd-5148-4695-98b2-d760dfa96dc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ri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285A3F25-AFD2-46CC-822F-7BE3BDE8873A}"/>
    <hyperlink ref="I33" r:id="rId126" display="https://advance-lexis-com.ezproxy.library.tufts.edu/search/?pdmfid=1516831&amp;crid=83bf363b-a1d9-444b-857d-cc3861d0b5b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rt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ED4BE3E9-10F0-49B0-9095-8248BE337F53}"/>
    <hyperlink ref="I35" r:id="rId127" display="https://advance-lexis-com.ezproxy.library.tufts.edu/search/?pdmfid=1516831&amp;crid=8dc38fb9-1dca-4aea-a498-1a9a71a4b04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et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E651B2AA-DECF-40DE-B132-94E93115AB6A}"/>
    <hyperlink ref="I37" r:id="rId128" display="https://advance-lexis-com.ezproxy.library.tufts.edu/search/?pdmfid=1516831&amp;crid=4a02d1eb-ab6e-4993-a8db-953c415e9d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ndelar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EA2A5FC2-F9D1-4F0A-9AB7-071D7AF9E13A}"/>
    <hyperlink ref="I38" r:id="rId129" display="https://advance-lexis-com.ezproxy.library.tufts.edu/search/?pdmfid=1516831&amp;crid=edb82f26-b73e-449e-bf22-01365ce02f1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anguino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632F3476-64EA-420D-8739-8B05C530A4CC}"/>
    <hyperlink ref="I39" r:id="rId130" display="https://advance-lexis-com.ezproxy.library.tufts.edu/search/?pdmfid=1516831&amp;crid=d06c77df-579e-42f5-9551-f4566ff7879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rmen+Silva+OR+Chic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8FAADFAB-7650-4AF1-B160-0F81D96DDE44}"/>
    <hyperlink ref="I40" r:id="rId131" display="https://advance-lexis-com.ezproxy.library.tufts.edu/search/?pdmfid=1516831&amp;crid=c7ab914a-5f9f-4dc7-be90-0adb54b29f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i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BB14A2FA-D9D4-46FA-8127-084AC94931BF}"/>
    <hyperlink ref="I41" r:id="rId132" display="https://advance-lexis-com.ezproxy.library.tufts.edu/search/?pdmfid=1516831&amp;crid=d1d9aa4a-9463-4b32-a6a0-e894c7f3727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olute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71DA5CE2-201C-4BE1-BDAC-48D58CDAAC42}"/>
    <hyperlink ref="I42" r:id="rId133" display="https://advance-lexis-com.ezproxy.library.tufts.edu/search/?pdmfid=1516831&amp;crid=632e06c9-07a1-4ca6-8e4b-bda84799c3c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u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006285AB-829F-467A-B460-27C510C6C3E1}"/>
    <hyperlink ref="I44" r:id="rId134" display="https://advance-lexis-com.ezproxy.library.tufts.edu/search/?pdmfid=1516831&amp;crid=c83ef7b4-c5f7-49f1-9c9a-903371d8b94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ilka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CA546B4F-DE48-45F6-99AF-521EBA61358D}"/>
    <hyperlink ref="I46" r:id="rId135" display="https://advance-lexis-com.ezproxy.library.tufts.edu/search/?pdmfid=1516831&amp;crid=8ee0d871-0154-4ed5-a30f-493d6eff1bd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iloang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B17E2B1A-869A-4571-83DD-41EED70DCC61}"/>
    <hyperlink ref="I47" r:id="rId136" display="https://advance-lexis-com.ezproxy.library.tufts.edu/search/?pdmfid=1516831&amp;crid=9f2ae588-eb46-47d6-a860-4c65475d23e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ncoso+OR+Lauca+OR+Lagoon+de+Coipas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2C5075C5-B7C6-42AD-80A3-4641CFF12E90}"/>
    <hyperlink ref="I50" r:id="rId137" display="https://advance-lexis-com.ezproxy.library.tufts.edu/search/?pdmfid=1516831&amp;crid=9b0aa22b-8b13-49d7-9d2a-ec44d0c031f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Coco)+OR+Segovia+OR+Amaka+OR+Bocay+OR+Waspu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909C58B2-E6CC-4E23-8E99-D93F40B78122}"/>
    <hyperlink ref="I51" r:id="rId138" display="https://advance-lexis-com.ezproxy.library.tufts.edu/search/?pdmfid=1516831&amp;crid=87b2a064-2cb7-4844-9af2-0b9042ecd5b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ma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040B5F4E-C957-4004-A995-D60B6D493340}"/>
    <hyperlink ref="I52" r:id="rId139" display="https://advance-lexis-com.ezproxy.library.tufts.edu/search/?pdmfid=1516831&amp;crid=7d4b6b02-803f-4af1-8e54-f4ba1b4b5f3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Coppe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3A8D112F-1315-4CFF-9BF2-416A12E42B9F}"/>
    <hyperlink ref="I54" r:id="rId140" display="https://advance-lexis-com.ezproxy.library.tufts.edu/search/?pdmfid=1516831&amp;crid=e5ee8e27-a878-45e0-ab85-a1124dfb283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rantijn+OR+Couranty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DEAC11CC-E12C-4056-AC5C-A76518AEBC53}"/>
    <hyperlink ref="I55" r:id="rId141" display="https://advance-lexis-com.ezproxy.library.tufts.edu/search/?pdmfid=1516831&amp;crid=5666a3e8-e8dc-45d4-b2f4-6a1a2c0e5d2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ru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A29A948A-70B5-4840-BD71-5284A01D22FA}"/>
    <hyperlink ref="I56" r:id="rId142" display="https://advance-lexis-com.ezproxy.library.tufts.edu/search/?pdmfid=1516831&amp;crid=b67f52b5-4a07-40ca-95d5-29796b83114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stletow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040E4704-B558-4A66-B6CE-39F25F1835D6}"/>
    <hyperlink ref="I57" r:id="rId143" display="https://advance-lexis-com.ezproxy.library.tufts.edu/search/?pdmfid=1516831&amp;crid=e99fba97-375b-4454-939d-33ffe5db2ff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estos+OR+Nuo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5B5D48EA-38E1-4E6E-A527-F53E573D1F03}"/>
    <hyperlink ref="I58" r:id="rId144" display="https://advance-lexis-com.ezproxy.library.tufts.edu/search/?pdmfid=1516831&amp;crid=ef213ed4-d774-4feb-9a7f-289863f632e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atan+Achu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64D04D61-8D36-485A-821A-ED3030ADAFBC}"/>
    <hyperlink ref="I59" r:id="rId145" display="https://advance-lexis-com.ezproxy.library.tufts.edu/search/?pdmfid=1516831&amp;crid=75787082-7ab4-4cb0-b2c6-bd4ccdf9aa3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eti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650D8C2B-9C43-420A-B195-37A4F851B8F0}"/>
    <hyperlink ref="I60" r:id="rId146" display="https://advance-lexis-com.ezproxy.library.tufts.edu/search/?pdmfid=1516831&amp;crid=a3d81650-179b-4c00-b568-92b32f18c32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tatumb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A7A8D8C4-F5FA-4B76-A98A-A55C0C008533}"/>
    <hyperlink ref="I64" r:id="rId147" display="https://advance-lexis-com.ezproxy.library.tufts.edu/search/?pdmfid=1516831&amp;crid=cc0a312a-3919-40b7-8666-1aa95733fc8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aou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4A89D99E-1849-4B7E-8EC5-219DF3A6F183}"/>
    <hyperlink ref="I65" r:id="rId148" display="https://advance-lexis-com.ezproxy.library.tufts.edu/search/?pdmfid=1516831&amp;crid=392dda26-f4b9-43aa-88b2-d5533c0ad86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igu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1E4BF881-060A-4ED0-8561-4684040ECD3A}"/>
    <hyperlink ref="I67" r:id="rId149" display="https://advance-lexis-com.ezproxy.library.tufts.edu/search/?pdmfid=1516831&amp;crid=9a944edd-2945-4016-975e-8b25660682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niester+OR+Dniestr+OR+Sere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C8B8700D-E4A5-4FDB-8CD0-191A17E47EC9}"/>
    <hyperlink ref="I69" r:id="rId150" display="https://advance-lexis-com.ezproxy.library.tufts.edu/search/?pdmfid=1516831&amp;crid=049a1b6f-f85a-48a6-838d-75b31e3b0e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ragonj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B23705F1-92CE-483E-86CD-0A5329B2CB08}"/>
    <hyperlink ref="I70" r:id="rId151" display="https://advance-lexis-com.ezproxy.library.tufts.edu/search/?pdmfid=1516831&amp;crid=20910843-ccef-468a-b76f-a51ef5bbdf6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ra+OR+Qued+Zemoul+OR+Qued+Dad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7159B94F-C58D-49CF-8280-F7BCDF4182B9}"/>
    <hyperlink ref="I72" r:id="rId152" display="https://advance-lexis-com.ezproxy.library.tufts.edu/search/?pdmfid=1516831&amp;crid=ec6a221f-a0a6-4a59-bf93-cd04f72d761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ash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66EC87B9-8C04-4054-8F83-2998E17C5756}"/>
    <hyperlink ref="I73" r:id="rId153" display="https://advance-lexis-com.ezproxy.library.tufts.edu/search/?pdmfid=1516831&amp;crid=e28ab2be-8da9-4a62-a481-580ecbdd6b4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rysa+OR+Dzirina+Zakh+OR+Dzisna+OR+Voz+Drysvyaty+OR+Voz+Snudy+OR+Levuo+OR+Aiviekeste+OR+Berze+OR+Daugava+OR+Lecaba+OR+Lielupe+OR+Lubanas+Ezers+OR+Lucava+OR+Maita+OR+Memele+OR+Misa+OR+Musa+OR+Ogre+OR+Pededze+OR+Reznas+Ezers+OR+Rusonu+Ezers+OR+Sivera+Ezers+OR+Sve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215F92E1-7C08-4190-B87C-DBED7730944E}"/>
    <hyperlink ref="I78" r:id="rId154" display="https://advance-lexis-com.ezproxy.library.tufts.edu/search/?pdmfid=1516831&amp;crid=3c792f09-00d6-4086-89fb-2bbbb4d292c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rne+OR+Lower+Lough+Erne+OR+Upper+Lough+Er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B0F3DB69-6B6B-4985-8ADA-C18D07EA41AF}"/>
    <hyperlink ref="I79" r:id="rId155" display="https://advance-lexis-com.ezproxy.library.tufts.edu/search/?pdmfid=1516831&amp;crid=be303dda-00a4-428d-8ad2-812ee1be0d2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ssequibo+OR+Burro-Burro+OR+Illiwa+OR+Kwitaro+OR+Mazarani+OR+Mazaruni+OR+Rupununi+OR+Siaruni+OR+Takutu+OR+Tacuta+OR+Cuyu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EA5119DB-55EF-42FE-9870-4ACF8E18D58C}"/>
    <hyperlink ref="I80" r:id="rId156" display="https://advance-lexis-com.ezproxy.library.tufts.edu/search/?pdmfid=1516831&amp;crid=b2fc88af-0427-4c15-ae54-182c8435058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uvelai+OR+Etosh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1044E992-CDFA-4E30-B9FF-04CB6C062E60}"/>
    <hyperlink ref="I81" r:id="rId157" display="https://advance-lexis-com.ezproxy.library.tufts.edu/search/?pdmfid=1516831&amp;crid=3cfd586e-cd6f-4055-b7ca-002387f89e9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a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F3F2FE8A-4111-4D51-BFC2-545E7935732C}"/>
    <hyperlink ref="I82" r:id="rId158" display="https://advance-lexis-com.ezproxy.library.tufts.edu/search/?pdmfid=1516831&amp;crid=0320dd96-8cba-420b-96f5-b3d6f35c61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Flurr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A3D98B88-7CD9-491C-A38C-AD49D8602986}"/>
    <hyperlink ref="I83" r:id="rId159" display="https://advance-lexis-com.ezproxy.library.tufts.edu/search/?pdmfid=1516831&amp;crid=11a1bce5-4737-4648-943e-932e04c76dc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Fl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877DB296-1798-4BCD-ACB9-87E35CEC87E7}"/>
    <hyperlink ref="I84" r:id="rId160" display="https://advance-lexis-com.ezproxy.library.tufts.edu/search/?pdmfid=1516831&amp;crid=57da4d69-616b-47e6-a103-1f999518384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enne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8106732D-680D-41B6-9E2B-3DA1799FFDFE}"/>
    <hyperlink ref="I85" r:id="rId161" display="https://advance-lexis-com.ezproxy.library.tufts.edu/search/?pdmfid=1516831&amp;crid=1a78a04c-87d9-49c4-ba38-a67583a6695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oyl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D097D95D-35E9-451B-ABC7-39DE98296F8F}"/>
    <hyperlink ref="I92" r:id="rId162" display="https://advance-lexis-com.ezproxy.library.tufts.edu/search/?pdmfid=1516831&amp;crid=61964243-5f3a-42ea-b8b6-cce4e699f8a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eba+OR+Corubal+OR+Kayang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BD5251A4-A903-4066-B5CC-717E5130CFEE}"/>
    <hyperlink ref="I94" r:id="rId163" display="https://advance-lexis-com.ezproxy.library.tufts.edu/search/?pdmfid=1516831&amp;crid=987fd3f0-6fa9-4ce5-be1a-a9dee0e108a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la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7F78D89E-0BF5-4F16-A23B-563CB8C110A9}"/>
    <hyperlink ref="I95" r:id="rId164" display="https://advance-lexis-com.ezproxy.library.tufts.edu/search/?pdmfid=1516831&amp;crid=931e6758-7784-4f99-b649-69857438383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la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03A6FDCF-CF7D-426D-95D5-35C9D63E0084}"/>
    <hyperlink ref="I96" r:id="rId165" display="https://advance-lexis-com.ezproxy.library.tufts.edu/search/?pdmfid=1516831&amp;crid=84d6780f-f1f4-46b2-9014-3bdfc9efc88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olo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3C319B52-585B-4866-B334-88318608626B}"/>
    <hyperlink ref="I97" r:id="rId166" display="https://advance-lexis-com.ezproxy.library.tufts.edu/search/?pdmfid=1516831&amp;crid=3f155370-8b84-4025-99ad-2af56163d96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oascor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A1CFAEC4-18C7-45AC-BB93-91784BC290EF}"/>
    <hyperlink ref="I101" r:id="rId167" display="https://advance-lexis-com.ezproxy.library.tufts.edu/search/?pdmfid=1516831&amp;crid=5045584b-918d-4201-8ae2-7431ad0b56d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uadia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C20CE662-D219-446F-B3FD-D09599D077A3}"/>
    <hyperlink ref="I102" r:id="rId168" display="https://advance-lexis-com.ezproxy.library.tufts.edu/search/?pdmfid=1516831&amp;crid=f6fcff16-660c-4234-a3f0-85b894bf889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ui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D50D4D85-A0B7-41C6-B84D-C12AE7F446E2}"/>
    <hyperlink ref="I103" r:id="rId169" display="https://advance-lexis-com.ezproxy.library.tufts.edu/search/?pdmfid=1516831&amp;crid=80200f82-f7d0-4cf6-bc3e-a0228037e46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uj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FCEA130C-560F-4281-9C73-0BE7E79AEF14}"/>
    <hyperlink ref="I105" r:id="rId170" display="https://advance-lexis-com.ezproxy.library.tufts.edu/search/?pdmfid=1516831&amp;crid=e03c870d-a6c5-4f81-a016-238627a1a3a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ari+OR+Harirud)+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BA4638EC-2F5B-4F54-A950-2CDDAE0A58FA}"/>
    <hyperlink ref="I106" r:id="rId171" display="https://advance-lexis-com.ezproxy.library.tufts.edu/search/?pdmfid=1516831&amp;crid=b3a3964b-15fb-4936-b966-4a9e1be8bf7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amun+I+Mashkel+OR+Raksh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25C79DC9-8273-4141-90B8-7CAFEEF7B7B7}"/>
    <hyperlink ref="I110" r:id="rId172" display="https://advance-lexis-com.ezproxy.library.tufts.edu/search/?pdmfid=1516831&amp;crid=5cf5cd88-6fb8-4e79-bc0e-97986b7d5b6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si+OR+Bei+Jiang+OR+Dachun+He+OR+Lian+Jiang+OR+Liangjiang+OR+Maotiao+He+OR+Miaotiaohe+OR+Sancha+He+OR+Sanchahe+OR+Weijang+OR+Wengjiang)+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94750513-B59A-4808-8758-6E956AF52717}"/>
    <hyperlink ref="I111" r:id="rId173" display="https://advance-lexis-com.ezproxy.library.tufts.edu/search/?pdmfid=1516831&amp;crid=14b017ab-a4fb-4090-aeb2-56d6c8563ca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ncomati+OR+Komat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E89F7ED9-AFBB-40C0-8966-1DF3C80810F3}"/>
    <hyperlink ref="I112" r:id="rId174" display="https://advance-lexis-com.ezproxy.library.tufts.edu/search/?pdmfid=1516831&amp;crid=c4fc1968-e6d9-4a9d-8a2d-bdd45aa55a3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li+OR+Kunes+He+OR+Illi+OR+Malaya+Almaatin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6E17B242-FDE9-4814-811E-A9D64724A2B9}"/>
    <hyperlink ref="I113" r:id="rId175" display="https://advance-lexis-com.ezproxy.library.tufts.edu/search/?pdmfid=1516831&amp;crid=dfcbdca6-9399-4877-a988-6cd2d25f398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ndalsalv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27A0E462-8A38-411E-ADE6-7B03B6227552}"/>
    <hyperlink ref="I116" r:id="rId176" display="https://advance-lexis-com.ezproxy.library.tufts.edu/search/?pdmfid=1516831&amp;crid=f071d0bf-7c39-45c1-81af-75fd01173f5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sonzo+OR+So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E80DBD34-63A0-4D6A-8AAA-234E5FB7522E}"/>
    <hyperlink ref="I117" r:id="rId177" display="https://advance-lexis-com.ezproxy.library.tufts.edu/search/?pdmfid=1516831&amp;crid=318a5b92-6c09-4816-a079-2e8223d8cf4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ayapu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9C920F77-A3C0-4F14-9514-A8A46F444599}"/>
    <hyperlink ref="I121" r:id="rId178" display="https://advance-lexis-com.ezproxy.library.tufts.edu/search/?pdmfid=1516831&amp;crid=866e7274-e4e9-4c92-b0f6-3e2eb35ee40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urad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2827CFF2-FA11-4FDB-A9F7-D8D520970197}"/>
    <hyperlink ref="I122" r:id="rId179" display="https://advance-lexis-com.ezproxy.library.tufts.edu/search/?pdmfid=1516831&amp;crid=b597f95b-b7cb-4a2d-b884-a3c713a3ac9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alad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2E579324-DAB4-4DFB-B4E0-14B1949B1A6B}"/>
    <hyperlink ref="I123" r:id="rId180" display="https://advance-lexis-com.ezproxy.library.tufts.edu/search/?pdmfid=1516831&amp;crid=a9830040-d1db-43c6-98d6-41f082773eb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emi+OR+Alasuolijarvi+OR+Askanjoki+OR+Jeesiojoki+OR+Juotasjoki+OR+Kemijoki+OR+Kemiyari+OR+Kitinen+OR+Luiro+OR+Luirojoki+OR+Ounasjoki+OR+Porttipahata+Reservoir+OR+Unar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AD1727EA-7028-489D-964D-BCFBA10A6FCD}"/>
    <hyperlink ref="I124" r:id="rId181" display="https://advance-lexis-com.ezproxy.library.tufts.edu/search/?pdmfid=1516831&amp;crid=97f1a821-62ab-4937-a7bc-8c529bd6ecd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ogiln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2F7541CC-911F-4817-9B01-1CC385657877}"/>
    <hyperlink ref="I125" r:id="rId182" display="https://advance-lexis-com.ezproxy.library.tufts.edu/search/?pdmfid=1516831&amp;crid=9e0cc511-b48c-4ba9-bbbe-8357424f047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omoe+OR+Bayakokore+OR+Iringou+OR+Leraba-Occidentale+O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92B8A705-ED6C-4F8B-9D63-446FC7B03791}"/>
    <hyperlink ref="I126" r:id="rId183" display="https://advance-lexis-com.ezproxy.library.tufts.edu/search/?pdmfid=1516831&amp;crid=0b343cbc-e631-4485-b7c3-fdf9e448438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arnaphuli+OR+Karnaful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5CFC1BBE-E272-4E45-8D0B-DAF7F648869B}"/>
    <hyperlink ref="I128" r:id="rId184" display="https://advance-lexis-com.ezproxy.library.tufts.edu/search/?pdmfid=1516831&amp;crid=7c165d40-0659-4234-8a0f-83bd964e65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r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A0C7785F-6DEC-45F1-BE7B-F24894C7B5EC}"/>
    <hyperlink ref="I129" r:id="rId185" display="https://advance-lexis-com.ezproxy.library.tufts.edu/search/?pdmfid=1516831&amp;crid=9f1573f3-ef4a-43f9-b470-d21048568cb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laralven+OR+Lettan+OR+Ore+alv)+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5570B895-12A3-4E7B-B9D9-8C64A96C9996}"/>
    <hyperlink ref="I130" r:id="rId186" display="https://advance-lexis-com.ezproxy.library.tufts.edu/search/?pdmfid=1516831&amp;crid=589c068f-0964-457b-a19b-66a8b4bb1d5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unene+OR+Cunene+OR+Caculuva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149BFD33-9927-497E-A0B7-EF9E6DC3F4A5}"/>
    <hyperlink ref="I132" r:id="rId187" display="https://advance-lexis-com.ezproxy.library.tufts.edu/search/?pdmfid=1516831&amp;crid=579dddea-20ca-43a3-a5f6-13e9468309e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va+OR+Prege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77E25710-DCA0-4362-AAE8-7239239B3F26}"/>
    <hyperlink ref="I133" r:id="rId188" display="https://advance-lexis-com.ezproxy.library.tufts.edu/search/?pdmfid=1516831&amp;crid=c0b6ac03-0c1d-43b1-9102-c07c328ad7a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guna+Filare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D0412DE1-09CE-42DA-B720-A35E1E78FBE8}"/>
    <hyperlink ref="I138" r:id="rId189" display="https://advance-lexis-com.ezproxy.library.tufts.edu/search/?pdmfid=1516831&amp;crid=e1f32c47-f022-49bf-b5e0-d4f96c8a79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Chilw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64E2D203-0BA9-4E1E-B69F-FA4562D343EB}"/>
    <hyperlink ref="I140" r:id="rId190" display="https://advance-lexis-com.ezproxy.library.tufts.edu/search/?pdmfid=1516831&amp;crid=86b1ddd1-6732-4cd0-a1f2-022c3876b9b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De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9E46363F-D98F-46C4-9428-F989B60DF1A6}"/>
    <hyperlink ref="I145" r:id="rId191" display="https://advance-lexis-com.ezproxy.library.tufts.edu/search/?pdmfid=1516831&amp;crid=3273a709-8340-4666-b68d-bb5069d15f8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Rukw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2A08B332-3414-4839-956E-E3B8B08E7B22}"/>
    <hyperlink ref="I147" r:id="rId192" display="https://advance-lexis-com.ezproxy.library.tufts.edu/search/?pdmfid=1516831&amp;crid=4fe458ec-c16e-4b12-956e-ac3394d37c6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Titicaca+Poopo+OR+Lagoon+Arap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E7C3C9F9-4C77-4915-8096-20583FFFA9C6}"/>
    <hyperlink ref="I148" r:id="rId193" display="https://advance-lexis-com.ezproxy.library.tufts.edu/search/?pdmfid=1516831&amp;crid=fe60c784-0c37-44fa-8d5f-4699285769b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Turkana+OR+Ch%27eq+bahr+OR+Gojeb+OR+Omo+OR+Ferguson%27s+Gulf+OR+Lotagipi+Swamp+OR+Turkwe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EA17B70E-ED1E-42AA-B55F-8CA21A4B83B8}"/>
    <hyperlink ref="I150" r:id="rId194" display="https://advance-lexis-com.ezproxy.library.tufts.edu/search/?pdmfid=1516831&amp;crid=7d5e38ec-4513-4b70-a4f9-9b5a31d928d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ielupe+OR+Levuo+OR+Musa+OR+Berze+OR+Lecava+OR+Memele+OR+Misa+OR+Sve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B72EAF3F-9A33-4E75-89B9-31EE0AEABEA2}"/>
    <hyperlink ref="I151" r:id="rId195" display="https://advance-lexis-com.ezproxy.library.tufts.edu/search/?pdmfid=1516831&amp;crid=c1517a57-85b4-423c-acdd-35aa71182b9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ugh+Melvi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3CA7B07C-CFFC-4EE0-BE6E-FBB9981EDD43}"/>
    <hyperlink ref="I154" r:id="rId196" display="https://advance-lexis-com.ezproxy.library.tufts.edu/search/?pdmfid=1516831&amp;crid=b2cf0191-1d24-4ebc-ad0e-2d98ad9fc4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goon+Dos+Patos+OR+Lagoon+Mirim+OR+Yaguaro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10EC8782-8B83-44FD-9163-A9AC6B2B208A}"/>
    <hyperlink ref="I155" r:id="rId197" display="https://advance-lexis-com.ezproxy.library.tufts.edu/search/?pdmfid=1516831&amp;crid=f9b55fea-0a4a-452c-899f-313004c9497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AEDAA61B-91CA-47CD-8415-493E96C54F3F}"/>
    <hyperlink ref="I156" r:id="rId198" display="https://advance-lexis-com.ezproxy.library.tufts.edu/search/?pdmfid=1516831&amp;crid=c42f1145-0529-46e7-b68d-35a6729338f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ff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83307226-20B6-45E3-942C-113E12D3458B}"/>
    <hyperlink ref="I158" r:id="rId199" display="https://advance-lexis-com.ezproxy.library.tufts.edu/search/?pdmfid=1516831&amp;crid=6f68fdf7-679e-4765-8c2e-736d4351540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Little)+Scarcies+OR+Mong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8102A14C-5B97-4307-A1B8-DFE90051E2E2}"/>
    <hyperlink ref="I160" r:id="rId200" display="https://advance-lexis-com.ezproxy.library.tufts.edu/search/?pdmfid=1516831&amp;crid=a8dac97f-89cb-422f-b525-17d662e903d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na+OR+Mor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38F27CEB-2C4E-451B-B9D7-D1C69465F23E}"/>
    <hyperlink ref="I161" r:id="rId201" display="https://advance-lexis-com.ezproxy.library.tufts.edu/search/?pdmfid=1516831&amp;crid=632ce127-bf4b-4084-8584-ecdc26068bd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6BE06A0D-66E0-4840-8960-7C6DBF20A630}"/>
    <hyperlink ref="I162" r:id="rId202" display="https://advance-lexis-com.ezproxy.library.tufts.edu/search/?pdmfid=1516831&amp;crid=464d4532-da95-4694-9b7c-8c9115b0545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Massac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2D3828F7-38E7-417E-B6E3-66E92C236094}"/>
    <hyperlink ref="I164" r:id="rId203" display="https://advance-lexis-com.ezproxy.library.tufts.edu/search/?pdmfid=1516831&amp;crid=bee11631-827e-4431-9fce-922ae62234a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b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183368AE-9CF7-4E86-B2B5-DB78D65E954A}"/>
    <hyperlink ref="I165" r:id="rId204" display="https://advance-lexis-com.ezproxy.library.tufts.edu/search/?pdmfid=1516831&amp;crid=926c9ab5-004f-4f4c-8011-6ca27bf1019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edjerda+OR+Medjerda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20D0FB3C-90F1-4B48-B597-762ED871E03C}"/>
    <hyperlink ref="I167" r:id="rId205" display="https://advance-lexis-com.ezproxy.library.tufts.edu/search/?pdmfid=1516831&amp;crid=7215790a-6632-4cc5-a28e-b5dbfe3e625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uhuri+OR+CAPS(Little)+Fe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14F4A8EE-F5F0-4038-A241-CD39BBCB1BA2}"/>
    <hyperlink ref="I168" r:id="rId206" display="https://advance-lexis-com.ezproxy.library.tufts.edu/search/?pdmfid=1516831&amp;crid=93ff2cc8-680e-4372-b153-63da2a90854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llarinos+OR+Boeza+OR+Casoyo+OR+Eiros+OR+Lona+OR+Mino+OR+Valseco+OR+Arnoia+OR+Sil+OR+Lor+OR+Bibei+OR+Cua+OR+Laguna+de+Ante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9F5CA05A-A6C8-41A1-96D9-18D73D2BDD5E}"/>
    <hyperlink ref="I169" r:id="rId207" display="https://advance-lexis-com.ezproxy.library.tufts.edu/search/?pdmfid=1516831&amp;crid=bb90f2b1-7b92-4d8a-a3f2-1c0aafd36b1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i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036006AB-22BF-41B8-9803-9DE1C4128306}"/>
    <hyperlink ref="I171" r:id="rId208" display="https://advance-lexis-com.ezproxy.library.tufts.edu/search/?pdmfid=1516831&amp;crid=63a58ceb-12d8-455a-96ce-3a73c60e0a4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iu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DC96508C-C4CA-4933-9203-D82089E18253}"/>
    <hyperlink ref="I172" r:id="rId209" display="https://advance-lexis-com.ezproxy.library.tufts.edu/search/?pdmfid=1516831&amp;crid=2ca7bed2-0403-4231-a6bc-4dd59c4966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6B4CE2EF-49DE-4BB1-B08E-2DFCA89CF092}"/>
    <hyperlink ref="I173" r:id="rId210" display="https://advance-lexis-com.ezproxy.library.tufts.edu/search/?pdmfid=1516831&amp;crid=aa2c115a-4f21-4fe9-9d73-102bb84476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h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AD60F63F-E930-4F73-B0B9-8F0CAC41D0B8}"/>
    <hyperlink ref="I174" r:id="rId211" display="https://advance-lexis-com.ezproxy.library.tufts.edu/search/?pdmfid=1516831&amp;crid=c0b71d33-843b-41b1-8af7-7c546a5e78f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no+OR+Og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0A0CFB3E-ABD3-4FDB-99F5-5BCC7AA97B9D}"/>
    <hyperlink ref="I175" r:id="rId212" display="https://advance-lexis-com.ezproxy.library.tufts.edu/search/?pdmfid=1516831&amp;crid=7da855cf-ec4c-474a-bff0-f25f75ecfcf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taqu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9F560E2B-D9FF-4115-BD8F-8B83CADB1D84}"/>
    <hyperlink ref="I176" r:id="rId213" display="https://advance-lexis-com.ezproxy.library.tufts.edu/search/?pdmfid=1516831&amp;crid=96b67859-12c7-49d5-83e0-0ab256f19d6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put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20B9AF71-5A47-40F9-8BA0-C2B1233B4C92}"/>
    <hyperlink ref="I177" r:id="rId214" display="https://advance-lexis-com.ezproxy.library.tufts.edu/search/?pdmfid=1516831&amp;crid=f600e47e-35e6-47ea-b4c5-92d367c6fa4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urgab+OR+Gushg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6ECC3551-8553-46B1-AE74-362F26DFCF8E}"/>
    <hyperlink ref="I178" r:id="rId215" display="https://advance-lexis-com.ezproxy.library.tufts.edu/search/?pdmfid=1516831&amp;crid=e0982c53-9f1a-4213-b08a-fbc5015c52d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roni+OR+Litani+Itany+OR+Marouini+OR+Ouagui+OR+Tampo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684D3FDA-C7D1-4071-A336-D4508BFB4C94}"/>
    <hyperlink ref="I179" r:id="rId216" display="https://advance-lexis-com.ezproxy.library.tufts.edu/search/?pdmfid=1516831&amp;crid=53499b89-d6f6-4e20-95d3-6d30b485ebd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ritsa+OR+Ovtcharitza+OR+Skender+de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49ADADFD-BF86-4348-A425-034C0ECADABF}"/>
    <hyperlink ref="I180" r:id="rId217" display="https://advance-lexis-com.ezproxy.library.tufts.edu/search/?pdmfid=1516831&amp;crid=a8bf82cb-32e2-4e9f-8645-acf4d83bfa4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taj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AEB00C34-8618-42C6-8BAE-C4F5DA4686F0}"/>
    <hyperlink ref="I181" r:id="rId218" display="https://advance-lexis-com.ezproxy.library.tufts.edu/search/?pdmfid=1516831&amp;crid=953b7027-f6ac-47e8-93a5-026f332a63b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af)+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E4246C5C-4E90-4629-A084-1249F55837D8}"/>
    <hyperlink ref="I182" r:id="rId219" display="https://advance-lexis-com.ezproxy.library.tufts.edu/search/?pdmfid=1516831&amp;crid=0902cc7f-9cfe-4030-b767-aac6566b9fc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atam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03AC1FB4-65D6-440A-AE82-9F3DE4E476D1}"/>
    <hyperlink ref="I183" r:id="rId220" display="https://advance-lexis-com.ezproxy.library.tufts.edu/search/?pdmfid=1516831&amp;crid=4ad7c6ef-2c68-4810-8549-c20f1e01b19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idelv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36831788-1BEA-4574-BB6A-D4BA91E9A0BE}"/>
    <hyperlink ref="I190" r:id="rId221" display="https://advance-lexis-com.ezproxy.library.tufts.edu/search/?pdmfid=1516831&amp;crid=98b06ce5-5956-4cde-91c2-3e1d600b69c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eretv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 xr:uid="{46EC25C2-C691-47E2-9908-BD1C91F5F651}"/>
    <hyperlink ref="I191" r:id="rId222" display="https://advance-lexis-com.ezproxy.library.tufts.edu/search/?pdmfid=1516831&amp;crid=c27ebd1d-9e16-4966-ab7f-939e80efa3d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rva+OR+Peipus+OR+Vohandu+OR+Cherekha+OR+Kuchva+OR+L.Peipus+OR+Chudskoye+Ozero+OR+Pskovskoye+Ozero+OR+Sinyaya+OR+Utroya+OR+Velika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1D783C22-6052-4A87-80F7-87292846B811}"/>
    <hyperlink ref="I192" r:id="rId223" display="https://advance-lexis-com.ezproxy.library.tufts.edu/search/?pdmfid=1516831&amp;crid=c671ca1f-902b-4c6b-9f06-47061c2f709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estos+OR+Mylorem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1F856E95-EA61-4C5F-883E-431EAADA1867}"/>
    <hyperlink ref="I193" r:id="rId224" display="https://advance-lexis-com.ezproxy.library.tufts.edu/search/?pdmfid=1516831&amp;crid=6708f9e9-a5b8-494c-b6a4-ac411b30b4d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yang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0217CF88-8159-4964-803C-4C9637F6B6A7}"/>
    <hyperlink ref="I194" r:id="rId225" display="https://advance-lexis-com.ezproxy.library.tufts.edu/search/?pdmfid=1516831&amp;crid=f5131d31-96b5-43e7-aaff-bba4f417593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ryn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623594EE-EC7D-4457-8F2C-C6123D29FCFD}"/>
    <hyperlink ref="I196" r:id="rId226" display="https://advance-lexis-com.ezproxy.library.tufts.edu/search/?pdmfid=1516831&amp;crid=0f5016cb-8257-4a01-9fa7-cef8fdb5522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ed+Bon+Nai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35864AA6-BF40-4823-8A00-B3C5C63B848A}"/>
    <hyperlink ref="I197" r:id="rId227" display="https://advance-lexis-com.ezproxy.library.tufts.edu/search/?pdmfid=1516831&amp;crid=c18b9c41-18d1-4b65-bb21-24b8c0b3d9d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der+OR+Lobnicky+potok+OR+Moravice+OR+Barycz+OR+Bobr+OR+Grabia+OR+Kwisa+OR+Matd+Panew+OR+Neisse+OR+Nysaluzyckn+OR+Neris+OR+Notec+OR+Nysa+Klodzka+OR+Obra+OR+Odra+OR+Pliszka+OR+Prosna+OR+Warta+OR+Watna+OR+Widaw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14ECDB0E-5A89-432E-925A-B5048D799C98}"/>
    <hyperlink ref="I198" r:id="rId228" display="https://advance-lexis-com.ezproxy.library.tufts.edu/search/?pdmfid=1516831&amp;crid=4cfc784a-568d-46af-a863-6d0bd0cf2e6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gooue+OR+Abanga+OR+Aina+OR+Djadie+OR+Djouah+OR+Ikoy+OR+Ivindo+OR+Leconi+OR+Lolo+OR+Mvoung+OR+Ngounie+OR+Offoue+OR+Ouah+OR+Seb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4EBF9EEE-CFC9-4E97-815D-7B63C1A0EC3A}"/>
    <hyperlink ref="I199" r:id="rId229" display="https://advance-lexis-com.ezproxy.library.tufts.edu/search/?pdmfid=1516831&amp;crid=da3846c3-e90d-4e7d-a955-cab4ffd3afd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kavango+OR+Cuatir+OR+Cuito+OR+Makgadikgadi+Pans+OR+Tandaue+OR+Boteti+OR+Lake+Ngami+OR+Lake+Xau+OR+Nata+OR+Okvango+Delta+OR+Omatako+OR+Otjozondj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993E7C03-93B3-4088-9594-8DC8E84BCD11}"/>
    <hyperlink ref="I200" r:id="rId230" display="https://advance-lexis-com.ezproxy.library.tufts.edu/search/?pdmfid=1516831&amp;crid=7ac1ba5c-dce6-4b2e-a7c1-2c85fe3c655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langa+OR+Iijoki+OR+Oulujoki+OR+Pya+Oze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2E7E53CD-930F-4E81-9F28-F20618AF1234}"/>
    <hyperlink ref="I204" r:id="rId231" display="https://advance-lexis-com.ezproxy.library.tufts.edu/search/?pdmfid=1516831&amp;crid=5e146866-a5ed-4169-b050-b5debefd54d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eme+OR+Okpa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E99FDA9C-9AD6-49DB-8013-3E5F68E11C13}"/>
    <hyperlink ref="I205" r:id="rId232" display="https://advance-lexis-com.ezproxy.library.tufts.edu/search/?pdmfid=1516831&amp;crid=7811835e-93e6-4efb-8320-79951d58b02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l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5ECFE384-160B-414E-B654-C892F94B2863}"/>
    <hyperlink ref="I206" r:id="rId233" display="https://advance-lexis-com.ezproxy.library.tufts.edu/search/?pdmfid=1516831&amp;crid=90ce7c9c-5f6a-4d1b-a5dc-04ef0e58f8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iapoque+OR+Oyupock+OR+Camop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46256BF2-7638-4A22-B81A-C31AD78F9702}"/>
    <hyperlink ref="I207" r:id="rId234" display="https://advance-lexis-com.ezproxy.library.tufts.edu/search/?pdmfid=1516831&amp;crid=8d67ba69-c28c-494a-afb7-85174eb85f5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ng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3C5913F9-F8C3-4059-8A50-AD1DEE216EA3}"/>
    <hyperlink ref="I209" r:id="rId235" display="https://advance-lexis-com.ezproxy.library.tufts.edu/search/?pdmfid=1516831&amp;crid=68c8775c-50c4-4ec7-a0ee-8b5ce5e2f68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eschana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B1650A81-0653-459E-90EF-5B86B56CFB6A}"/>
    <hyperlink ref="I210" r:id="rId236" display="https://advance-lexis-com.ezproxy.library.tufts.edu/search/?pdmfid=1516831&amp;crid=5d491640-9644-4ff8-a74d-fb50acf4f4e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edernal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6C7520DE-C816-4D87-921E-BB265EA07E90}"/>
    <hyperlink ref="I211" r:id="rId237" display="https://advance-lexis-com.ezproxy.library.tufts.edu/search/?pdmfid=1516831&amp;crid=9fbc6098-eacf-4d56-9f7e-e34813e51f4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kch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019D6FA3-C866-4495-9554-AA0B1DE1AB77}"/>
    <hyperlink ref="I212" r:id="rId238" display="https://advance-lexis-com.ezproxy.library.tufts.edu/search/?pdmfid=1516831&amp;crid=ab10ebc5-3eb0-4157-8ace-72ba9dbd54f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oldneva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1DF4649F-EC93-4D11-987F-596A4211F8DE}"/>
    <hyperlink ref="I213" r:id="rId239" display="https://advance-lexis-com.ezproxy.library.tufts.edu/search/?pdmfid=1516831&amp;crid=bd132d17-fbad-4575-806c-7cfc8d45d6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le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18896C23-1967-4F1F-A142-3B0D4A03BF89}"/>
    <hyperlink ref="I214" r:id="rId240" display="https://advance-lexis-com.ezproxy.library.tufts.edu/search/?pdmfid=1516831&amp;crid=196e664b-507b-4def-9318-642d42eab42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ndaru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B076C876-F11B-42E9-96CF-82DDC1694BBA}"/>
    <hyperlink ref="I216" r:id="rId241" display="https://advance-lexis-com.ezproxy.library.tufts.edu/search/?pdmfid=1516831&amp;crid=5e45ddf8-eda9-45db-86b4-e36d1ce2543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rohladnaj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054D10C7-BEEE-4805-865A-C09E18397663}"/>
    <hyperlink ref="I217" r:id="rId242" display="https://advance-lexis-com.ezproxy.library.tufts.edu/search/?pdmfid=1516831&amp;crid=4c3f093e-ea26-415a-8761-0a1b8ad3e0a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rn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06A459AC-4790-4180-B62B-C69A6E412937}"/>
    <hyperlink ref="I219" r:id="rId243" display="https://advance-lexis-com.ezproxy.library.tufts.edu/search/?pdmfid=1516831&amp;crid=de0c8be6-9c0c-49ed-9242-a32d3dc5998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s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333D12B2-D26A-4D3F-B1F3-550A74A604A7}"/>
    <hyperlink ref="I220" r:id="rId244" display="https://advance-lexis-com.ezproxy.library.tufts.edu/search/?pdmfid=1516831&amp;crid=14933658-b64e-4ff2-b901-053624094b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svik+OR+Inari+OR+Ivalojoki+OR+Vaskojok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A898FAD2-8BD6-4215-9779-5E0496211D88}"/>
    <hyperlink ref="I221" r:id="rId245" display="https://advance-lexis-com.ezproxy.library.tufts.edu/search/?pdmfid=1516831&amp;crid=21c8e3c9-39c8-4cf7-a4b8-5380b2d45bd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t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9EDFAA38-4F57-4A92-8394-30FB76B3F39A}"/>
    <hyperlink ref="I222" r:id="rId246" display="https://advance-lexis-com.ezproxy.library.tufts.edu/search/?pdmfid=1516831&amp;crid=86233613-b11d-404e-999c-30a6361c72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uel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80383258-C112-42AF-9BBE-35FB1928C03D}"/>
    <hyperlink ref="I224" r:id="rId247" display="https://advance-lexis-com.ezproxy.library.tufts.edu/search/?pdmfid=1516831&amp;crid=77dc1788-475f-43e3-95df-b9abc963ee3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ungw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55444F51-C543-4C9D-81FC-1B5133125AE5}"/>
    <hyperlink ref="I233" r:id="rId248" display="https://advance-lexis-com.ezproxy.library.tufts.edu/search/?pdmfid=1516831&amp;crid=5f9d4abe-7f58-4081-92c1-c059e7c6435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Ro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ED6BAB67-8990-4F9D-96CA-3014DF9CBD34}"/>
    <hyperlink ref="I234" r:id="rId249" display="https://advance-lexis-com.ezproxy.library.tufts.edu/search/?pdmfid=1516831&amp;crid=c0fd6aac-aac8-4b64-ad2a-25a7269f674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Ruvuma+OR+Lago+Chinta+OR+Lake+Malawi+OR+Luchulingo+OR+Lugend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582A6553-72A5-42D7-A0E8-480D61BF142D}"/>
    <hyperlink ref="I238" r:id="rId250" display="https://advance-lexis-com.ezproxy.library.tufts.edu/search/?pdmfid=1516831&amp;crid=1b18db1e-56ce-4c01-b34a-9d377a26da0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la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F1296325-4ED4-48CB-A115-E95CAB9B2E1F}"/>
    <hyperlink ref="I240" r:id="rId251" display="https://advance-lexis-com.ezproxy.library.tufts.edu/search/?pdmfid=1516831&amp;crid=d38a7a3d-73f3-43e4-ade4-893ca07506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mu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14E55FC1-5060-4370-A0DA-16871146AD17}"/>
    <hyperlink ref="I241" r:id="rId252" display="https://advance-lexis-com.ezproxy.library.tufts.edu/search/?pdmfid=1516831&amp;crid=2a507866-b737-4212-9b70-5bb06020a8d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ag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62604445-DC9F-475F-9AF4-F430A13A88F8}"/>
    <hyperlink ref="I243" r:id="rId253" display="https://advance-lexis-com.ezproxy.library.tufts.edu/search/?pdmfid=1516831&amp;crid=002f5a41-91e0-45ae-aba2-0cac5b7f171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buk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1DFBE94C-4C43-4398-BB9E-1A049F9E57FA}"/>
    <hyperlink ref="I248" r:id="rId254" display="https://advance-lexis-com.ezproxy.library.tufts.edu/search/?pdmfid=1516831&amp;crid=bc1be37c-4eeb-4d12-b7e4-ddd32c7f183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p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EBE4D535-0CD3-46C5-A287-BF05C2D85228}"/>
    <hyperlink ref="I250" r:id="rId255" display="https://advance-lexis-com.ezproxy.library.tufts.edu/search/?pdmfid=1516831&amp;crid=4fe0ab58-11b1-44b3-8aa7-0c04d37344e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chelde+OR+Demer+OR+Dender+OR+Dijle+OR+Rupe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EEE8F075-4817-4CAB-B8DA-19452B4C601F}"/>
    <hyperlink ref="I252" r:id="rId256" display="https://advance-lexis-com.ezproxy.library.tufts.edu/search/?pdmfid=1516831&amp;crid=a0384b78-8d97-4f11-8311-7ddc6ec70bb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ixao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F245C328-B9C5-40E4-9726-99118DD5E737}"/>
    <hyperlink ref="I259" r:id="rId257" display="https://advance-lexis-com.ezproxy.library.tufts.edu/search/?pdmfid=1516831&amp;crid=1df812b1-2fc0-4141-be1e-f332a548496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mbakung)+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A78CCACF-EE68-4E81-B7B5-64CD548D600E}"/>
    <hyperlink ref="I261" r:id="rId258" display="https://advance-lexis-com.ezproxy.library.tufts.edu/search/?pdmfid=1516831&amp;crid=3dfa2d64-978e-4470-803a-03b6cbbce7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rat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CD4B9506-CDBF-4E38-A356-EB523706C5B1}"/>
    <hyperlink ref="I262" r:id="rId259" display="https://advance-lexis-com.ezproxy.library.tufts.edu/search/?pdmfid=1516831&amp;crid=8290ff9c-6c6c-47b1-91cd-eb8461d61c6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rstu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62C27031-32E0-4F1C-861E-0C39E9543C8B}"/>
    <hyperlink ref="I263" r:id="rId260" display="https://advance-lexis-com.ezproxy.library.tufts.edu/search/?pdmfid=1516831&amp;crid=458c641e-defb-4bcd-9faf-2062c704415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ikine+OR+Chutine+OR+Kinaskan+Lake+OR+Klappan+OR+Pitman+OR+Spatsizi+OR+Tahltan+OR+Tahltan+Lake+OR+Tanzilla+OR+Tumeka+Lake+OR+Tu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BACC2604-7AA6-4A1B-BB83-A657B2A0E02C}"/>
    <hyperlink ref="I264" r:id="rId261" display="https://advance-lexis-com.ezproxy.library.tufts.edu/search/?pdmfid=1516831&amp;crid=ef57c057-4d23-4070-bfdb-795f4d2af88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ruma+OR+Ana+Dere+OR+Beglichka+OR+Bersinski+dol+OR+Devinski+OR+Kriva+OR+Matnitza+OR+Orolachka+OR+Stara+reka+OR+Strouma+OR+Limni+Kerkuni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1F4B7458-FBFC-4602-A9F8-BC4525DEB8CA}"/>
    <hyperlink ref="I265" r:id="rId262" display="https://advance-lexis-com.ezproxy.library.tufts.edu/search/?pdmfid=1516831&amp;crid=bd66757a-788a-421d-915b-e8525342eff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uchia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77B1A385-032F-4CF3-800A-6863E290DEAE}"/>
    <hyperlink ref="I266" r:id="rId263" display="https://advance-lexis-com.ezproxy.library.tufts.edu/search/?pdmfid=1516831&amp;crid=410fa3f2-6a6b-4269-9dc3-8f9b3011476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ujfu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8B5E75E2-6E3B-4D4C-B822-49471586B2C6}"/>
    <hyperlink ref="I267" r:id="rId264" display="https://advance-lexis-com.ezproxy.library.tufts.edu/search/?pdmfid=1516831&amp;crid=d4cf508c-1d86-439b-967a-c88f030a5c2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ulak+OR+Avar+Kois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3D024633-0C3A-4FD4-92B0-0301A85CD958}"/>
    <hyperlink ref="I268" r:id="rId265" display="https://advance-lexis-com.ezproxy.library.tufts.edu/search/?pdmfid=1516831&amp;crid=ff252b17-7c4d-409d-a7b0-43d27b2f70a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fna+OR+Meffrouc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98B6970D-E0EC-44EE-A86D-35719ADFBF55}"/>
    <hyperlink ref="I271" r:id="rId266" display="https://advance-lexis-com.ezproxy.library.tufts.edu/search/?pdmfid=1516831&amp;crid=d2d6bc0f-66db-43c7-81d6-bd45731dbc9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la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CF6CC176-1BDB-41E5-9C24-5B121F733529}"/>
    <hyperlink ref="I272" r:id="rId267" display="https://advance-lexis-com.ezproxy.library.tufts.edu/search/?pdmfid=1516831&amp;crid=72de217f-ab4e-4fb2-b185-c17ec0e0cb8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m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E3E8798D-32BF-438A-B9A3-AF7C397844E4}"/>
    <hyperlink ref="I274" r:id="rId268" display="https://advance-lexis-com.ezproxy.library.tufts.edu/search/?pdmfid=1516831&amp;crid=3b0e629e-1918-4458-95b0-51638c89ac5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9FA9A123-AEBD-428E-A775-092573BCFC9F}"/>
    <hyperlink ref="I275" r:id="rId269" display="https://advance-lexis-com.ezproxy.library.tufts.edu/search/?pdmfid=1516831&amp;crid=28bfb2ad-5487-4175-9b03-f44b883ac58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emas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72B4F9DA-7132-43E5-B526-4A17EE480942}"/>
    <hyperlink ref="I276" r:id="rId270" display="https://advance-lexis-com.ezproxy.library.tufts.edu/search/?pdmfid=1516831&amp;crid=ab4ef4a3-1752-4e10-b262-4ae0228c670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ere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069B92EB-74CE-4320-BE0B-B78A5FA59CE5}"/>
    <hyperlink ref="I279" r:id="rId271" display="https://advance-lexis-com.ezproxy.library.tufts.edu/search/?pdmfid=1516831&amp;crid=3dbaa7b0-c2a3-4c92-a52c-be9a9bc280c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jeroaka+OR+Wanggo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FB8AAD46-69CC-4E12-9C67-D693038CAF11}"/>
    <hyperlink ref="I280" r:id="rId272" display="https://advance-lexis-com.ezproxy.library.tufts.edu/search/?pdmfid=1516831&amp;crid=4012bb3e-9715-4970-be40-7e04c683aa6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orne+OR+Kilpisjarvi+OR+Miekojarvi+OR+Jerisjarvi+OR+Konkamaalven+OR+Lanioalven+OR+Lataseno+OR+Muonioalven+OR+Parkajoki+OR+Tornealven+OR+Tornetras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0E44B764-C2E0-4344-A2C6-B4BF97E4225A}"/>
    <hyperlink ref="I281" r:id="rId273" display="https://advance-lexis-com.ezproxy.library.tufts.edu/search/?pdmfid=1516831&amp;crid=a17cf578-21ee-467f-8ea7-f08d52b4675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ri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FFCBC8CD-0555-472F-BF7B-F713757A716B}"/>
    <hyperlink ref="I283" r:id="rId274" display="https://advance-lexis-com.ezproxy.library.tufts.edu/search/?pdmfid=1516831&amp;crid=4f716cdc-f611-496a-b8e1-6c0a03e9c3d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umb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9F6B3CA9-501F-4FFE-9A11-F960F39A9D5D}"/>
    <hyperlink ref="I284" r:id="rId275" display="https://advance-lexis-com.ezproxy.library.tufts.edu/search/?pdmfid=1516831&amp;crid=534f86ba-d2cd-490e-986c-cbd8402eb83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um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319F9BD0-C7A8-4D47-A5B3-AC89BDFD2061}"/>
    <hyperlink ref="I285" r:id="rId276" display="https://advance-lexis-com.ezproxy.library.tufts.edu/search/?pdmfid=1516831&amp;crid=87e17d97-0c58-450f-91ab-b0749bbf67f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mbeluzi+OR+Black+Umbuluzi+OR+White+Umbuluz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FCD965E8-8067-42EB-92F1-A0545DB9EC43}"/>
    <hyperlink ref="I286" r:id="rId277" display="https://advance-lexis-com.ezproxy.library.tufts.edu/search/?pdmfid=1516831&amp;crid=de3ee4fe-d8b7-495b-b009-bd90898c353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mb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2FCA99D9-C865-499D-85DA-9A9A332A6187}"/>
    <hyperlink ref="I287" r:id="rId278" display="https://advance-lexis-com.ezproxy.library.tufts.edu/search/?pdmfid=1516831&amp;crid=6a2d85b6-4006-4bca-84c5-4140fc17baa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nu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E0F7EA13-797A-44EA-9CC5-C19138AE9940}"/>
    <hyperlink ref="I288" r:id="rId279" display="https://advance-lexis-com.ezproxy.library.tufts.edu/search/?pdmfid=1516831&amp;crid=356752be-1546-4f01-9d25-ddeb4ffc489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tambo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112971E9-1386-4292-B75C-544CBFD4EE0A}"/>
    <hyperlink ref="I290" r:id="rId280" display="https://advance-lexis-com.ezproxy.library.tufts.edu/search/?pdmfid=1516831&amp;crid=9f8f0c25-3266-4461-a4c5-dd698f1ee2c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ch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3D81447A-AD37-456F-9FB2-5B801432A983}"/>
    <hyperlink ref="I291" r:id="rId281" display="https://advance-lexis-com.ezproxy.library.tufts.edu/search/?pdmfid=1516831&amp;crid=93c7bd87-1407-4c4a-83fc-450b0fb3fae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aldiv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785EC48D-2FE9-49A4-8C15-54DA1AA848F3}"/>
    <hyperlink ref="I292" r:id="rId282" display="https://advance-lexis-com.ezproxy.library.tufts.edu/search/?pdmfid=1516831&amp;crid=da1e58a5-6bf6-44e9-962c-84041265a4f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nta+OR+Luksta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1746A666-AF0D-43A8-86B1-1AF47A5259B8}"/>
    <hyperlink ref="I293" r:id="rId283" display="https://advance-lexis-com.ezproxy.library.tufts.edu/search/?pdmfid=1516831&amp;crid=13e7ba9c-eea7-4fbd-a30c-04e2c615c18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fs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876F546C-3E7D-4D3B-B0C6-396EBB86E2A3}"/>
    <hyperlink ref="I295" r:id="rId284" display="https://advance-lexis-com.ezproxy.library.tufts.edu/search/?pdmfid=1516831&amp;crid=4efefe6b-c561-4377-a040-5e252ea2369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la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A0591AAF-DEA4-4BF8-982D-CB767BD18E9D}"/>
    <hyperlink ref="I298" r:id="rId285" display="https://advance-lexis-com.ezproxy.library.tufts.edu/search/?pdmfid=1516831&amp;crid=4ab7c844-7b41-4440-9b07-aeaacdedbcd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ardar+OR+Bregalnica+OR+Crna+OR+Kriva+OR+Pcinja+OR+Treska+OR+Crna+Reka+OR+Kocanska+OR+Lepenac+OR+Tres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E28A05AB-AFA9-466E-AB5E-F81A91FC64EF}"/>
    <hyperlink ref="I300" r:id="rId286" display="https://advance-lexis-com.ezproxy.library.tufts.edu/search/?pdmfid=1516831&amp;crid=5cd19182-bb00-4cef-ad18-d325be3b15f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uoksa+OR+Koitajoki+OR+Pielisjok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794BBC34-DE9D-4C4B-A565-2E73BCCA9BFB}"/>
    <hyperlink ref="I302" r:id="rId287" display="https://advance-lexis-com.ezproxy.library.tufts.edu/search/?pdmfid=1516831&amp;crid=f8478c6f-b900-4e47-a986-425c08f6d49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Wieda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2D0A19B5-41F8-4053-97D5-4B969E45DF84}"/>
    <hyperlink ref="I303" r:id="rId288" display="https://advance-lexis-com.ezproxy.library.tufts.edu/search/?pdmfid=1516831&amp;crid=467049d4-586f-49c9-b92a-5e3b1fe91c6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Yal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B675FE17-EAC5-4733-ABF8-AAB86563B1B3}"/>
    <hyperlink ref="I305" r:id="rId289" display="https://advance-lexis-com.ezproxy.library.tufts.edu/search/?pdmfid=1516831&amp;crid=f6b33d84-e42f-44a0-9ace-0aaa1875e5f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Yelch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F6F28B07-CF1D-4F81-A2AA-C3554D72FEF9}"/>
    <hyperlink ref="I307" r:id="rId290" display="https://advance-lexis-com.ezproxy.library.tufts.edu/search/?pdmfid=1516831&amp;crid=6a6eac6a-64d3-4b44-b9aa-27bd05b1dd8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Yse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5CF79724-142F-47B0-8291-A7E361401AA1}"/>
    <hyperlink ref="I311" r:id="rId291" display="https://advance-lexis-com.ezproxy.library.tufts.edu/search/?pdmfid=1516831&amp;crid=89e63879-dd65-4906-a2ab-444f9fdc960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Zarumil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 xr:uid="{E9B557CB-9DD6-468A-B773-5C47B430E928}"/>
  </hyperlinks>
  <pageMargins left="0.7" right="0.7" top="0.75" bottom="0.75" header="0.3" footer="0.3"/>
  <drawing r:id="rId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8AA37-9EF9-4D9E-8954-70FE02412609}">
  <dimension ref="A1:L316"/>
  <sheetViews>
    <sheetView tabSelected="1" workbookViewId="0">
      <pane xSplit="1" topLeftCell="B1" activePane="topRight" state="frozen"/>
      <selection pane="topRight" activeCell="I35" sqref="I35"/>
    </sheetView>
  </sheetViews>
  <sheetFormatPr baseColWidth="10" defaultColWidth="9.1640625" defaultRowHeight="15" x14ac:dyDescent="0.2"/>
  <cols>
    <col min="2" max="2" width="14.5" bestFit="1" customWidth="1"/>
    <col min="3" max="3" width="14.5" customWidth="1"/>
    <col min="4" max="4" width="13.5" customWidth="1"/>
    <col min="5" max="5" width="12.33203125" customWidth="1"/>
    <col min="6" max="6" width="11" customWidth="1"/>
    <col min="7" max="7" width="12.83203125" customWidth="1"/>
    <col min="9" max="9" width="23.6640625" customWidth="1"/>
    <col min="10" max="10" width="12.33203125" customWidth="1"/>
    <col min="11" max="11" width="14.6640625" customWidth="1"/>
  </cols>
  <sheetData>
    <row r="1" spans="1:12" ht="48" x14ac:dyDescent="0.2">
      <c r="A1" s="45" t="s">
        <v>25</v>
      </c>
      <c r="B1" s="45" t="s">
        <v>26</v>
      </c>
      <c r="C1" s="45" t="s">
        <v>1439</v>
      </c>
      <c r="D1" s="46" t="s">
        <v>1440</v>
      </c>
      <c r="E1" s="46" t="s">
        <v>1441</v>
      </c>
      <c r="F1" s="46" t="s">
        <v>1442</v>
      </c>
      <c r="G1" s="46" t="s">
        <v>1443</v>
      </c>
      <c r="H1" s="46" t="s">
        <v>1444</v>
      </c>
      <c r="I1" s="46" t="s">
        <v>1445</v>
      </c>
      <c r="J1" s="46" t="s">
        <v>1446</v>
      </c>
      <c r="K1" s="46" t="s">
        <v>1447</v>
      </c>
      <c r="L1" s="46" t="s">
        <v>1448</v>
      </c>
    </row>
    <row r="2" spans="1:12" ht="16" x14ac:dyDescent="0.2">
      <c r="A2" s="49" t="s">
        <v>34</v>
      </c>
      <c r="B2" s="49" t="s">
        <v>33</v>
      </c>
      <c r="C2" s="63" t="str" cm="1">
        <f t="array" ref="C2">_xlfn.XLOOKUP(A2,'Automation Prepping'!$A$2:'Automation Prepping'!$A$315, 'Automation Prepping'!$D$2:'Automation Prepping'!$D$315)</f>
        <v>Y (1 July 2023)</v>
      </c>
      <c r="D2" t="str" cm="1">
        <f t="array" ref="D2">_xlfn.XLOOKUP(A2,'Automation Prepping'!$A$2:'Automation Prepping'!$A$315, 'Automation Prepping'!$F$2:'Automation Prepping'!$F$315)</f>
        <v>Y</v>
      </c>
      <c r="F2" t="str" cm="1">
        <f t="array" ref="F2">_xlfn.XLOOKUP(A2,'Automation Prepping'!$A$2:'Automation Prepping'!$A$315, 'Automation Prepping'!$H$2:'Automation Prepping'!$H$315)</f>
        <v>Y</v>
      </c>
      <c r="I2" t="s">
        <v>1448</v>
      </c>
      <c r="L2" t="str" cm="1">
        <f t="array" ref="L2">_xlfn.XLOOKUP(A2,'Automation Prepping'!$A$2:'Automation Prepping'!$A$315, 'Automation Prepping'!$I$2:'Automation Prepping'!$I$315)</f>
        <v>https://advance-lexis-com.ezproxy.library.tufts.edu/search/?pdmfid=1516831&amp;crid=fec62cbd-b7b8-4d21-88a4-2032ad75d6b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dig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v>
      </c>
    </row>
    <row r="3" spans="1:12" ht="16" x14ac:dyDescent="0.2">
      <c r="A3" s="49" t="s">
        <v>39</v>
      </c>
      <c r="B3" s="49" t="s">
        <v>38</v>
      </c>
      <c r="C3" s="63" t="str" cm="1">
        <f t="array" ref="C3">_xlfn.XLOOKUP(A3,'Automation Prepping'!$A$2:'Automation Prepping'!$A$315, 'Automation Prepping'!$D$2:'Automation Prepping'!$D$315)</f>
        <v>Y (1 July 2023)</v>
      </c>
      <c r="D3" t="str" cm="1">
        <f t="array" ref="D3">_xlfn.XLOOKUP(A3,'Automation Prepping'!$A$2:'Automation Prepping'!$A$315, 'Automation Prepping'!$F$2:'Automation Prepping'!$F$315)</f>
        <v>Y</v>
      </c>
      <c r="F3" t="str" cm="1">
        <f t="array" ref="F3">_xlfn.XLOOKUP(A3,'Automation Prepping'!$A$2:'Automation Prepping'!$A$315, 'Automation Prepping'!$H$2:'Automation Prepping'!$H$315)</f>
        <v>Y</v>
      </c>
      <c r="I3" t="s">
        <v>1448</v>
      </c>
      <c r="L3" t="str" cm="1">
        <f t="array" ref="L3">_xlfn.XLOOKUP(A3,'Automation Prepping'!$A$2:'Automation Prepping'!$A$315, 'Automation Prepping'!$I$2:'Automation Prepping'!$I$315)</f>
        <v>https://advance-lexis-com.ezproxy.library.tufts.edu/search/?pdmfid=1516831&amp;crid=57793ffd-53d5-4693-8e20-0f0093f74143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kp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v>
      </c>
    </row>
    <row r="4" spans="1:12" ht="16" x14ac:dyDescent="0.2">
      <c r="A4" s="49" t="s">
        <v>42</v>
      </c>
      <c r="B4" s="49" t="s">
        <v>41</v>
      </c>
      <c r="C4" s="63" t="str" cm="1">
        <f t="array" ref="C4">_xlfn.XLOOKUP(A4,'Automation Prepping'!$A$2:'Automation Prepping'!$A$315, 'Automation Prepping'!$D$2:'Automation Prepping'!$D$315)</f>
        <v>Y (1 July 2023)</v>
      </c>
      <c r="D4" t="str" cm="1">
        <f t="array" ref="D4">_xlfn.XLOOKUP(A4,'Automation Prepping'!$A$2:'Automation Prepping'!$A$315, 'Automation Prepping'!$F$2:'Automation Prepping'!$F$315)</f>
        <v>Y</v>
      </c>
      <c r="F4" t="str" cm="1">
        <f t="array" ref="F4">_xlfn.XLOOKUP(A4,'Automation Prepping'!$A$2:'Automation Prepping'!$A$315, 'Automation Prepping'!$H$2:'Automation Prepping'!$H$315)</f>
        <v>Y</v>
      </c>
      <c r="I4" t="s">
        <v>1448</v>
      </c>
      <c r="L4" t="str" cm="1">
        <f t="array" ref="L4">_xlfn.XLOOKUP(A4,'Automation Prepping'!$A$2:'Automation Prepping'!$A$315, 'Automation Prepping'!$I$2:'Automation Prepping'!$I$315)</f>
        <v>https://advance-lexis-com.ezproxy.library.tufts.edu/search/?pdmfid=1516831&amp;crid=70807c1d-644d-4515-8945-8dcc70ca15b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lako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v>
      </c>
    </row>
    <row r="5" spans="1:12" ht="16" x14ac:dyDescent="0.2">
      <c r="A5" s="49" t="s">
        <v>44</v>
      </c>
      <c r="B5" s="49" t="s">
        <v>45</v>
      </c>
      <c r="C5" s="63" t="str" cm="1">
        <f t="array" ref="C5">_xlfn.XLOOKUP(A5,'Automation Prepping'!$A$2:'Automation Prepping'!$A$315, 'Automation Prepping'!$D$2:'Automation Prepping'!$D$315)</f>
        <v>Y (1 July 2023)</v>
      </c>
      <c r="D5" t="str" cm="1">
        <f t="array" ref="D5">_xlfn.XLOOKUP(A5,'Automation Prepping'!$A$2:'Automation Prepping'!$A$315, 'Automation Prepping'!$F$2:'Automation Prepping'!$F$315)</f>
        <v>Y</v>
      </c>
      <c r="F5" t="str" cm="1">
        <f t="array" ref="F5">_xlfn.XLOOKUP(A5,'Automation Prepping'!$A$2:'Automation Prepping'!$A$315, 'Automation Prepping'!$H$2:'Automation Prepping'!$H$315)</f>
        <v>Y</v>
      </c>
      <c r="I5" t="s">
        <v>1448</v>
      </c>
      <c r="L5" t="str" cm="1">
        <f t="array" ref="L5">_xlfn.XLOOKUP(A5,'Automation Prepping'!$A$2:'Automation Prepping'!$A$315, 'Automation Prepping'!$I$2:'Automation Prepping'!$I$315)</f>
        <v>https://advance-lexis-com.ezproxy.library.tufts.edu/search/?pdmfid=1516831&amp;crid=2d355827-c7a2-4149-981f-5a23811f1279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lsek+OR+Bates+Lak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v>
      </c>
    </row>
    <row r="6" spans="1:12" ht="16" x14ac:dyDescent="0.2">
      <c r="A6" s="49" t="s">
        <v>47</v>
      </c>
      <c r="B6" s="49" t="s">
        <v>46</v>
      </c>
      <c r="C6" s="63" t="str" cm="1">
        <f t="array" ref="C6">_xlfn.XLOOKUP(A6,'Automation Prepping'!$A$2:'Automation Prepping'!$A$315, 'Automation Prepping'!$D$2:'Automation Prepping'!$D$315)</f>
        <v>Y (1 July 2023)</v>
      </c>
      <c r="D6" t="str" cm="1">
        <f t="array" ref="D6">_xlfn.XLOOKUP(A6,'Automation Prepping'!$A$2:'Automation Prepping'!$A$315, 'Automation Prepping'!$F$2:'Automation Prepping'!$F$315)</f>
        <v>Y</v>
      </c>
      <c r="F6" t="str" cm="1">
        <f t="array" ref="F6">_xlfn.XLOOKUP(A6,'Automation Prepping'!$A$2:'Automation Prepping'!$A$315, 'Automation Prepping'!$H$2:'Automation Prepping'!$H$315)</f>
        <v>Y</v>
      </c>
      <c r="I6" t="s">
        <v>1448</v>
      </c>
      <c r="L6" t="str" cm="1">
        <f t="array" ref="L6">_xlfn.XLOOKUP(A6,'Automation Prepping'!$A$2:'Automation Prepping'!$A$315, 'Automation Prepping'!$I$2:'Automation Prepping'!$I$315)</f>
        <v>https://advance-lexis-com.ezproxy.library.tufts.edu/search/?pdmfid=1516831&amp;crid=f527046e-bb0e-4f82-9a1a-3d513f064c56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macu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v>
      </c>
    </row>
    <row r="7" spans="1:12" ht="16" x14ac:dyDescent="0.2">
      <c r="A7" s="49" t="s">
        <v>49</v>
      </c>
      <c r="B7" s="49" t="s">
        <v>50</v>
      </c>
      <c r="C7" s="63" t="str" cm="1">
        <f t="array" ref="C7">_xlfn.XLOOKUP(A7,'Automation Prepping'!$A$2:'Automation Prepping'!$A$315, 'Automation Prepping'!$D$2:'Automation Prepping'!$D$315)</f>
        <v>N</v>
      </c>
      <c r="D7" t="str" cm="1">
        <f t="array" ref="D7">_xlfn.XLOOKUP(A7,'Automation Prepping'!$A$2:'Automation Prepping'!$A$315, 'Automation Prepping'!$F$2:'Automation Prepping'!$F$315)</f>
        <v>Need Add to 2024</v>
      </c>
      <c r="F7" cm="1">
        <f t="array" ref="F7">_xlfn.XLOOKUP(A7,'Automation Prepping'!$A$2:'Automation Prepping'!$A$315, 'Automation Prepping'!$H$2:'Automation Prepping'!$H$315)</f>
        <v>0</v>
      </c>
      <c r="I7" t="s">
        <v>1448</v>
      </c>
      <c r="L7" t="str" cm="1">
        <f t="array" ref="L7">_xlfn.XLOOKUP(A7,'Automation Prepping'!$A$2:'Automation Prepping'!$A$315, 'Automation Prepping'!$I$2:'Automation Prepping'!$I$315)</f>
        <v>https://advance-lexis-com.ezproxy.library.tufts.edu/search/?pdmfid=1516831&amp;crid=86bbb8d1-9f00-481b-bfc5-ec60245e8070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mur+OR+Emur+OR+Huma+OR+Muling+OR+Naoli+OR+Songhua+OR+Amagun+OR+Argun+OR+Bikin+OR+Bureya+OR+CAPS(Dep)+OR+Gazimur+OR+Gilyuy+OR+Ingoda+OR+Kur+OR+Onon+OR+Oz.+Chukchagirskoye+OR+Oz.+Khanka+OR+Oz.+Udyl%27+OR+Shilka+OR+CAPS(Tok)+OR+Urmi+OR+Ussuri+OR+Ze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v>
      </c>
    </row>
    <row r="8" spans="1:12" ht="16" x14ac:dyDescent="0.2">
      <c r="A8" s="49" t="s">
        <v>55</v>
      </c>
      <c r="B8" s="49" t="s">
        <v>56</v>
      </c>
      <c r="C8" s="63" t="str" cm="1">
        <f t="array" ref="C8">_xlfn.XLOOKUP(A8,'Automation Prepping'!$A$2:'Automation Prepping'!$A$315, 'Automation Prepping'!$D$2:'Automation Prepping'!$D$315)</f>
        <v>N</v>
      </c>
      <c r="D8" t="str" cm="1">
        <f t="array" ref="D8">_xlfn.XLOOKUP(A8,'Automation Prepping'!$A$2:'Automation Prepping'!$A$315, 'Automation Prepping'!$F$2:'Automation Prepping'!$F$315)</f>
        <v>In Progress</v>
      </c>
      <c r="F8" cm="1">
        <f t="array" ref="F8">_xlfn.XLOOKUP(A8,'Automation Prepping'!$A$2:'Automation Prepping'!$A$315, 'Automation Prepping'!$H$2:'Automation Prepping'!$H$315)</f>
        <v>0</v>
      </c>
      <c r="I8" t="s">
        <v>1449</v>
      </c>
      <c r="L8" t="str" cm="1">
        <f t="array" ref="L8">_xlfn.XLOOKUP(A8,'Automation Prepping'!$A$2:'Automation Prepping'!$A$315, 'Automation Prepping'!$I$2:'Automation Prepping'!$I$315)</f>
        <v>search button will not work</v>
      </c>
    </row>
    <row r="9" spans="1:12" ht="16" x14ac:dyDescent="0.2">
      <c r="A9" s="49" t="s">
        <v>59</v>
      </c>
      <c r="B9" s="49" t="s">
        <v>60</v>
      </c>
      <c r="C9" s="63" t="str" cm="1">
        <f t="array" ref="C9">_xlfn.XLOOKUP(A9,'Automation Prepping'!$A$2:'Automation Prepping'!$A$315, 'Automation Prepping'!$D$2:'Automation Prepping'!$D$315)</f>
        <v>Y (1 July 2023)</v>
      </c>
      <c r="D9" t="str" cm="1">
        <f t="array" ref="D9">_xlfn.XLOOKUP(A9,'Automation Prepping'!$A$2:'Automation Prepping'!$A$315, 'Automation Prepping'!$F$2:'Automation Prepping'!$F$315)</f>
        <v>Y</v>
      </c>
      <c r="F9" t="str" cm="1">
        <f t="array" ref="F9">_xlfn.XLOOKUP(A9,'Automation Prepping'!$A$2:'Automation Prepping'!$A$315, 'Automation Prepping'!$H$2:'Automation Prepping'!$H$315)</f>
        <v>Y</v>
      </c>
      <c r="I9" t="s">
        <v>1448</v>
      </c>
      <c r="L9" t="str" cm="1">
        <f t="array" ref="L9">_xlfn.XLOOKUP(A9,'Automation Prepping'!$A$2:'Automation Prepping'!$A$315, 'Automation Prepping'!$I$2:'Automation Prepping'!$I$315)</f>
        <v>https://advance-lexis-com.ezproxy.library.tufts.edu/search/?pdmfid=1516831&amp;crid=cc93a4c4-5e84-47b0-b381-745024f8ec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Nahr+Al+Kabir+OR+Nahr+Ibrahi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3e153b8f-e851-4639-9031-01a881cfdb32</v>
      </c>
    </row>
    <row r="10" spans="1:12" ht="16" x14ac:dyDescent="0.2">
      <c r="A10" s="49" t="s">
        <v>62</v>
      </c>
      <c r="B10" s="49" t="s">
        <v>61</v>
      </c>
      <c r="C10" s="63" t="str" cm="1">
        <f t="array" ref="C10">_xlfn.XLOOKUP(A10,'Automation Prepping'!$A$2:'Automation Prepping'!$A$315, 'Automation Prepping'!$D$2:'Automation Prepping'!$D$315)</f>
        <v>Y (1 July 2023)</v>
      </c>
      <c r="D10" t="str" cm="1">
        <f t="array" ref="D10">_xlfn.XLOOKUP(A10,'Automation Prepping'!$A$2:'Automation Prepping'!$A$315, 'Automation Prepping'!$F$2:'Automation Prepping'!$F$315)</f>
        <v>Y</v>
      </c>
      <c r="F10" t="str" cm="1">
        <f t="array" ref="F10">_xlfn.XLOOKUP(A10,'Automation Prepping'!$A$2:'Automation Prepping'!$A$315, 'Automation Prepping'!$H$2:'Automation Prepping'!$H$315)</f>
        <v>Y</v>
      </c>
      <c r="I10" t="s">
        <v>1448</v>
      </c>
      <c r="L10" t="str" cm="1">
        <f t="array" ref="L10">_xlfn.XLOOKUP(A10,'Automation Prepping'!$A$2:'Automation Prepping'!$A$315, 'Automation Prepping'!$I$2:'Automation Prepping'!$I$315)</f>
        <v>https://advance-lexis-com.ezproxy.library.tufts.edu/search/?pdmfid=1516831&amp;crid=5cc87410-4e22-46a3-834d-e1dd20f5ca4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germ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11f9a7c2-3787-4e1f-abf0-aa84db7ef7dc</v>
      </c>
    </row>
    <row r="11" spans="1:12" ht="16" x14ac:dyDescent="0.2">
      <c r="A11" s="49" t="s">
        <v>64</v>
      </c>
      <c r="B11" s="49" t="s">
        <v>63</v>
      </c>
      <c r="C11" s="63" t="str" cm="1">
        <f t="array" ref="C11">_xlfn.XLOOKUP(A11,'Automation Prepping'!$A$2:'Automation Prepping'!$A$315, 'Automation Prepping'!$D$2:'Automation Prepping'!$D$315)</f>
        <v>Y (1 July 2023)</v>
      </c>
      <c r="D11" t="str" cm="1">
        <f t="array" ref="D11">_xlfn.XLOOKUP(A11,'Automation Prepping'!$A$2:'Automation Prepping'!$A$315, 'Automation Prepping'!$F$2:'Automation Prepping'!$F$315)</f>
        <v>Need Add to 2024</v>
      </c>
      <c r="F11" cm="1">
        <f t="array" ref="F11">_xlfn.XLOOKUP(A11,'Automation Prepping'!$A$2:'Automation Prepping'!$A$315, 'Automation Prepping'!$H$2:'Automation Prepping'!$H$315)</f>
        <v>0</v>
      </c>
      <c r="I11" t="s">
        <v>1449</v>
      </c>
      <c r="L11" cm="1">
        <f t="array" ref="L11">_xlfn.XLOOKUP(A11,'Automation Prepping'!$A$2:'Automation Prepping'!$A$315, 'Automation Prepping'!$I$2:'Automation Prepping'!$I$315)</f>
        <v>0</v>
      </c>
    </row>
    <row r="12" spans="1:12" ht="16" x14ac:dyDescent="0.2">
      <c r="A12" s="49" t="s">
        <v>68</v>
      </c>
      <c r="B12" s="49" t="s">
        <v>69</v>
      </c>
      <c r="C12" s="63" t="str" cm="1">
        <f t="array" ref="C12">_xlfn.XLOOKUP(A12,'Automation Prepping'!$A$2:'Automation Prepping'!$A$315, 'Automation Prepping'!$D$2:'Automation Prepping'!$D$315)</f>
        <v>Y (1 July 2023)</v>
      </c>
      <c r="D12" t="str" cm="1">
        <f t="array" ref="D12">_xlfn.XLOOKUP(A12,'Automation Prepping'!$A$2:'Automation Prepping'!$A$315, 'Automation Prepping'!$F$2:'Automation Prepping'!$F$315)</f>
        <v>Y</v>
      </c>
      <c r="F12" t="str" cm="1">
        <f t="array" ref="F12">_xlfn.XLOOKUP(A12,'Automation Prepping'!$A$2:'Automation Prepping'!$A$315, 'Automation Prepping'!$H$2:'Automation Prepping'!$H$315)</f>
        <v>Y</v>
      </c>
      <c r="I12" t="s">
        <v>1448</v>
      </c>
      <c r="L12" t="str" cm="1">
        <f t="array" ref="L12">_xlfn.XLOOKUP(A12,'Automation Prepping'!$A$2:'Automation Prepping'!$A$315, 'Automation Prepping'!$I$2:'Automation Prepping'!$I$315)</f>
        <v>https://advance-lexis-com.ezproxy.library.tufts.edu/search/?pdmfid=1516831&amp;crid=5123f8a8-66d5-412b-9e68-8108147f3012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ral+OR+Syr+Daria+OR+Naryn+OR+Amu+Daria+OR+Syr+Darya+OR+Amu+Darya+OR+Akhangaran+OR+Chirch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3" spans="1:12" ht="16" x14ac:dyDescent="0.2">
      <c r="A13" s="49" t="s">
        <v>71</v>
      </c>
      <c r="B13" s="49" t="s">
        <v>72</v>
      </c>
      <c r="C13" s="63" t="str" cm="1">
        <f t="array" ref="C13">_xlfn.XLOOKUP(A13,'Automation Prepping'!$A$2:'Automation Prepping'!$A$315, 'Automation Prepping'!$D$2:'Automation Prepping'!$D$315)</f>
        <v>Y (1 July 2023)</v>
      </c>
      <c r="D13" t="str" cm="1">
        <f t="array" ref="D13">_xlfn.XLOOKUP(A13,'Automation Prepping'!$A$2:'Automation Prepping'!$A$315, 'Automation Prepping'!$F$2:'Automation Prepping'!$F$315)</f>
        <v>Y</v>
      </c>
      <c r="F13" t="str" cm="1">
        <f t="array" ref="F13">_xlfn.XLOOKUP(A13,'Automation Prepping'!$A$2:'Automation Prepping'!$A$315, 'Automation Prepping'!$H$2:'Automation Prepping'!$H$315)</f>
        <v>Y</v>
      </c>
      <c r="I13" t="s">
        <v>1448</v>
      </c>
      <c r="L13" t="str" cm="1">
        <f t="array" ref="L13">_xlfn.XLOOKUP(A13,'Automation Prepping'!$A$2:'Automation Prepping'!$A$315, 'Automation Prepping'!$I$2:'Automation Prepping'!$I$315)</f>
        <v>https://advance-lexis-com.ezproxy.library.tufts.edu/search/?pdmfid=1516831&amp;crid=125e1e8b-67f5-41c6-9bc4-892d7f24c175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si+OR+Orontes+OR+Amik+Gol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4" spans="1:12" ht="16" x14ac:dyDescent="0.2">
      <c r="A14" s="49" t="s">
        <v>74</v>
      </c>
      <c r="B14" s="49" t="s">
        <v>75</v>
      </c>
      <c r="C14" s="63" t="str" cm="1">
        <f t="array" ref="C14">_xlfn.XLOOKUP(A14,'Automation Prepping'!$A$2:'Automation Prepping'!$A$315, 'Automation Prepping'!$D$2:'Automation Prepping'!$D$315)</f>
        <v>Y (1 July 2023)</v>
      </c>
      <c r="D14" t="str" cm="1">
        <f t="array" ref="D14">_xlfn.XLOOKUP(A14,'Automation Prepping'!$A$2:'Automation Prepping'!$A$315, 'Automation Prepping'!$F$2:'Automation Prepping'!$F$315)</f>
        <v>Y</v>
      </c>
      <c r="F14" t="str" cm="1">
        <f t="array" ref="F14">_xlfn.XLOOKUP(A14,'Automation Prepping'!$A$2:'Automation Prepping'!$A$315, 'Automation Prepping'!$H$2:'Automation Prepping'!$H$315)</f>
        <v>Y</v>
      </c>
      <c r="I14" t="s">
        <v>1448</v>
      </c>
      <c r="L14" t="str" cm="1">
        <f t="array" ref="L14">_xlfn.XLOOKUP(A14,'Automation Prepping'!$A$2:'Automation Prepping'!$A$315, 'Automation Prepping'!$I$2:'Automation Prepping'!$I$315)</f>
        <v>https://advance-lexis-com.ezproxy.library.tufts.edu/search/?pdmfid=1516831&amp;crid=1c630e8f-6daf-4129-b0df-b86e28979d77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rtibonite+OR+Depelig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5" spans="1:12" ht="16" x14ac:dyDescent="0.2">
      <c r="A15" s="49" t="s">
        <v>77</v>
      </c>
      <c r="B15" s="49" t="s">
        <v>76</v>
      </c>
      <c r="C15" s="63" t="str" cm="1">
        <f t="array" ref="C15">_xlfn.XLOOKUP(A15,'Automation Prepping'!$A$2:'Automation Prepping'!$A$315, 'Automation Prepping'!$D$2:'Automation Prepping'!$D$315)</f>
        <v>Y (1 July 2023)</v>
      </c>
      <c r="D15" cm="1">
        <f t="array" ref="D15">_xlfn.XLOOKUP(A15,'Automation Prepping'!$A$2:'Automation Prepping'!$A$315, 'Automation Prepping'!$F$2:'Automation Prepping'!$F$315)</f>
        <v>0</v>
      </c>
      <c r="F15" cm="1">
        <f t="array" ref="F15">_xlfn.XLOOKUP(A15,'Automation Prepping'!$A$2:'Automation Prepping'!$A$315, 'Automation Prepping'!$H$2:'Automation Prepping'!$H$315)</f>
        <v>0</v>
      </c>
      <c r="I15" t="s">
        <v>1448</v>
      </c>
      <c r="L15" t="str" cm="1">
        <f t="array" ref="L15">_xlfn.XLOOKUP(A15,'Automation Prepping'!$A$2:'Automation Prepping'!$A$315, 'Automation Prepping'!$I$2:'Automation Prepping'!$I$315)</f>
        <v>https://advance-lexis-com.ezproxy.library.tufts.edu/search/?pdmfid=1516831&amp;crid=9908ff38-8b27-4fe7-b8b0-a20e85ff405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stara+Cha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6" spans="1:12" ht="16" x14ac:dyDescent="0.2">
      <c r="A16" s="49" t="s">
        <v>79</v>
      </c>
      <c r="B16" s="49" t="s">
        <v>80</v>
      </c>
      <c r="C16" s="63" t="str" cm="1">
        <f t="array" ref="C16">_xlfn.XLOOKUP(A16,'Automation Prepping'!$A$2:'Automation Prepping'!$A$315, 'Automation Prepping'!$D$2:'Automation Prepping'!$D$315)</f>
        <v>Y (1 July 2023)</v>
      </c>
      <c r="D16" t="str" cm="1">
        <f t="array" ref="D16">_xlfn.XLOOKUP(A16,'Automation Prepping'!$A$2:'Automation Prepping'!$A$315, 'Automation Prepping'!$F$2:'Automation Prepping'!$F$315)</f>
        <v>Y</v>
      </c>
      <c r="F16" t="str" cm="1">
        <f t="array" ref="F16">_xlfn.XLOOKUP(A16,'Automation Prepping'!$A$2:'Automation Prepping'!$A$315, 'Automation Prepping'!$H$2:'Automation Prepping'!$H$315)</f>
        <v>Y</v>
      </c>
      <c r="I16" t="s">
        <v>1448</v>
      </c>
      <c r="L16" t="str" cm="1">
        <f t="array" ref="L16">_xlfn.XLOOKUP(A16,'Automation Prepping'!$A$2:'Automation Prepping'!$A$315, 'Automation Prepping'!$I$2:'Automation Prepping'!$I$315)</f>
        <v>https://advance-lexis-com.ezproxy.library.tufts.edu/search/?pdmfid=1516831&amp;crid=d7c8c0bd-2a77-4637-87c0-4bda5500c8a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trak+OR+Sumbe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7" spans="1:12" ht="16" x14ac:dyDescent="0.2">
      <c r="A17" s="49" t="s">
        <v>82</v>
      </c>
      <c r="B17" s="49" t="s">
        <v>81</v>
      </c>
      <c r="C17" s="63" t="str" cm="1">
        <f t="array" ref="C17">_xlfn.XLOOKUP(A17,'Automation Prepping'!$A$2:'Automation Prepping'!$A$315, 'Automation Prepping'!$D$2:'Automation Prepping'!$D$315)</f>
        <v>Y (1 July 2023)</v>
      </c>
      <c r="D17" t="str" cm="1">
        <f t="array" ref="D17">_xlfn.XLOOKUP(A17,'Automation Prepping'!$A$2:'Automation Prepping'!$A$315, 'Automation Prepping'!$F$2:'Automation Prepping'!$F$315)</f>
        <v>Y</v>
      </c>
      <c r="F17" t="str" cm="1">
        <f t="array" ref="F17">_xlfn.XLOOKUP(A17,'Automation Prepping'!$A$2:'Automation Prepping'!$A$315, 'Automation Prepping'!$H$2:'Automation Prepping'!$H$315)</f>
        <v>Y</v>
      </c>
      <c r="I17" t="s">
        <v>1448</v>
      </c>
      <c r="L17" t="str" cm="1">
        <f t="array" ref="L17">_xlfn.XLOOKUP(A17,'Automation Prepping'!$A$2:'Automation Prepping'!$A$315, 'Automation Prepping'!$I$2:'Automation Prepping'!$I$315)</f>
        <v>https://advance-lexis-com.ezproxy.library.tufts.edu/search/?pdmfid=1516831&amp;crid=8c2a0306-6bd5-43e9-9f2f-e43f16156521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vil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8" spans="1:12" ht="16" x14ac:dyDescent="0.2">
      <c r="A18" s="49" t="s">
        <v>84</v>
      </c>
      <c r="B18" s="49" t="s">
        <v>85</v>
      </c>
      <c r="C18" s="63" t="str" cm="1">
        <f t="array" ref="C18">_xlfn.XLOOKUP(A18,'Automation Prepping'!$A$2:'Automation Prepping'!$A$315, 'Automation Prepping'!$D$2:'Automation Prepping'!$D$315)</f>
        <v>Y (1 July 2023)</v>
      </c>
      <c r="D18" t="str" cm="1">
        <f t="array" ref="D18">_xlfn.XLOOKUP(A18,'Automation Prepping'!$A$2:'Automation Prepping'!$A$315, 'Automation Prepping'!$F$2:'Automation Prepping'!$F$315)</f>
        <v>Y</v>
      </c>
      <c r="F18" t="str" cm="1">
        <f t="array" ref="F18">_xlfn.XLOOKUP(A18,'Automation Prepping'!$A$2:'Automation Prepping'!$A$315, 'Automation Prepping'!$H$2:'Automation Prepping'!$H$315)</f>
        <v>Y</v>
      </c>
      <c r="I18" t="s">
        <v>1448</v>
      </c>
      <c r="L18" t="str" cm="1">
        <f t="array" ref="L18">_xlfn.XLOOKUP(A18,'Automation Prepping'!$A$2:'Automation Prepping'!$A$315, 'Automation Prepping'!$I$2:'Automation Prepping'!$I$315)</f>
        <v>https://advance-lexis-com.ezproxy.library.tufts.edu/search/?pdmfid=1516831&amp;crid=13500b23-77c4-4282-8bd0-7f0e38d4fe6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bhe+Bid+Hayak+OR+Awash+OR+Finochaa+OR+Gemeri+Hayak+OR+Petit+Akabi+OR+Sendaf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9" spans="1:12" ht="16" x14ac:dyDescent="0.2">
      <c r="A19" s="49" t="s">
        <v>87</v>
      </c>
      <c r="B19" s="49" t="s">
        <v>86</v>
      </c>
      <c r="C19" s="63" t="str" cm="1">
        <f t="array" ref="C19">_xlfn.XLOOKUP(A19,'Automation Prepping'!$A$2:'Automation Prepping'!$A$315, 'Automation Prepping'!$D$2:'Automation Prepping'!$D$315)</f>
        <v>Y (1 July 2023)</v>
      </c>
      <c r="D19" t="str" cm="1">
        <f t="array" ref="D19">_xlfn.XLOOKUP(A19,'Automation Prepping'!$A$2:'Automation Prepping'!$A$315, 'Automation Prepping'!$F$2:'Automation Prepping'!$F$315)</f>
        <v>Y</v>
      </c>
      <c r="F19" t="str" cm="1">
        <f t="array" ref="F19">_xlfn.XLOOKUP(A19,'Automation Prepping'!$A$2:'Automation Prepping'!$A$315, 'Automation Prepping'!$H$2:'Automation Prepping'!$H$315)</f>
        <v>Y</v>
      </c>
      <c r="I19" t="s">
        <v>1448</v>
      </c>
      <c r="L19" t="str" cm="1">
        <f t="array" ref="L19">_xlfn.XLOOKUP(A19,'Automation Prepping'!$A$2:'Automation Prepping'!$A$315, 'Automation Prepping'!$I$2:'Automation Prepping'!$I$315)</f>
        <v>https://advance-lexis-com.ezproxy.library.tufts.edu/search/?pdmfid=1516831&amp;crid=d8fcd9d3-f35d-406d-9efc-b83edc6b50e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ys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20" spans="1:12" ht="16" x14ac:dyDescent="0.2">
      <c r="A20" s="49" t="s">
        <v>89</v>
      </c>
      <c r="B20" s="49" t="s">
        <v>90</v>
      </c>
      <c r="C20" s="63" t="str" cm="1">
        <f t="array" ref="C20">_xlfn.XLOOKUP(A20,'Automation Prepping'!$A$2:'Automation Prepping'!$A$315, 'Automation Prepping'!$D$2:'Automation Prepping'!$D$315)</f>
        <v>N</v>
      </c>
      <c r="D20" t="str" cm="1">
        <f t="array" ref="D20">_xlfn.XLOOKUP(A20,'Automation Prepping'!$A$2:'Automation Prepping'!$A$315, 'Automation Prepping'!$F$2:'Automation Prepping'!$F$315)</f>
        <v>Y</v>
      </c>
      <c r="F20" t="str" cm="1">
        <f t="array" ref="F20">_xlfn.XLOOKUP(A20,'Automation Prepping'!$A$2:'Automation Prepping'!$A$315, 'Automation Prepping'!$H$2:'Automation Prepping'!$H$315)</f>
        <v>Y</v>
      </c>
      <c r="I20" t="s">
        <v>1448</v>
      </c>
      <c r="L20" t="str" cm="1">
        <f t="array" ref="L20">_xlfn.XLOOKUP(A20,'Automation Prepping'!$A$2:'Automation Prepping'!$A$315, 'Automation Prepping'!$I$2:'Automation Prepping'!$I$315)</f>
        <v>https://advance-lexis-com.ezproxy.library.tufts.edu/search/?pdmfid=1516831&amp;crid=2765f148-e3e7-4702-8620-72fa608c3e66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ker+OR+Cochra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v>
      </c>
    </row>
    <row r="21" spans="1:12" ht="16" x14ac:dyDescent="0.2">
      <c r="A21" s="49" t="s">
        <v>92</v>
      </c>
      <c r="B21" s="49" t="s">
        <v>93</v>
      </c>
      <c r="C21" s="63" t="str" cm="1">
        <f t="array" ref="C21">_xlfn.XLOOKUP(A21,'Automation Prepping'!$A$2:'Automation Prepping'!$A$315, 'Automation Prepping'!$D$2:'Automation Prepping'!$D$315)</f>
        <v>Y (1 July 2023)</v>
      </c>
      <c r="D21" t="str" cm="1">
        <f t="array" ref="D21">_xlfn.XLOOKUP(A21,'Automation Prepping'!$A$2:'Automation Prepping'!$A$315, 'Automation Prepping'!$F$2:'Automation Prepping'!$F$315)</f>
        <v>Y</v>
      </c>
      <c r="F21" t="str" cm="1">
        <f t="array" ref="F21">_xlfn.XLOOKUP(A21,'Automation Prepping'!$A$2:'Automation Prepping'!$A$315, 'Automation Prepping'!$H$2:'Automation Prepping'!$H$315)</f>
        <v>Y</v>
      </c>
      <c r="I21" t="s">
        <v>1448</v>
      </c>
      <c r="L21" t="str" cm="1">
        <f t="array" ref="L21">_xlfn.XLOOKUP(A21,'Automation Prepping'!$A$2:'Automation Prepping'!$A$315, 'Automation Prepping'!$I$2:'Automation Prepping'!$I$315)</f>
        <v>https://advance-lexis-com.ezproxy.library.tufts.edu/search/?pdmfid=1516831&amp;crid=bdf289b9-2548-42b2-a0c9-f8d1687acb8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nn+OR+CAPS(Black+Water)+OR+Laugh+Neagh+OR+CAPS(Lower+Laugh)+Eri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22" spans="1:12" ht="16" x14ac:dyDescent="0.2">
      <c r="A22" s="49" t="s">
        <v>95</v>
      </c>
      <c r="B22" s="49" t="s">
        <v>94</v>
      </c>
      <c r="C22" s="63" t="str" cm="1">
        <f t="array" ref="C22">_xlfn.XLOOKUP(A22,'Automation Prepping'!$A$2:'Automation Prepping'!$A$315, 'Automation Prepping'!$D$2:'Automation Prepping'!$D$315)</f>
        <v>Y (1 July 2023)</v>
      </c>
      <c r="D22" cm="1">
        <f t="array" ref="D22">_xlfn.XLOOKUP(A22,'Automation Prepping'!$A$2:'Automation Prepping'!$A$315, 'Automation Prepping'!$F$2:'Automation Prepping'!$F$315)</f>
        <v>0</v>
      </c>
      <c r="F22" cm="1">
        <f t="array" ref="F22">_xlfn.XLOOKUP(A22,'Automation Prepping'!$A$2:'Automation Prepping'!$A$315, 'Automation Prepping'!$H$2:'Automation Prepping'!$H$315)</f>
        <v>0</v>
      </c>
      <c r="I22" t="s">
        <v>1448</v>
      </c>
      <c r="L22" t="str" cm="1">
        <f t="array" ref="L22">_xlfn.XLOOKUP(A22,'Automation Prepping'!$A$2:'Automation Prepping'!$A$315, 'Automation Prepping'!$I$2:'Automation Prepping'!$I$315)</f>
        <v>https://advance-lexis-com.ezproxy.library.tufts.edu/search/?pdmfid=1516831&amp;crid=05dd58a7-7328-4bd8-be6c-fab6fa677d83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hr+at+Tuba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23" spans="1:12" ht="16" x14ac:dyDescent="0.2">
      <c r="A23" s="49" t="s">
        <v>97</v>
      </c>
      <c r="B23" s="49" t="s">
        <v>96</v>
      </c>
      <c r="C23" s="63" t="str" cm="1">
        <f t="array" ref="C23">_xlfn.XLOOKUP(A23,'Automation Prepping'!$A$2:'Automation Prepping'!$A$315, 'Automation Prepping'!$D$2:'Automation Prepping'!$D$315)</f>
        <v>Y (1 July 2023)</v>
      </c>
      <c r="D23" t="str" cm="1">
        <f t="array" ref="D23">_xlfn.XLOOKUP(A23,'Automation Prepping'!$A$2:'Automation Prepping'!$A$315, 'Automation Prepping'!$F$2:'Automation Prepping'!$F$315)</f>
        <v>Y</v>
      </c>
      <c r="F23" t="str" cm="1">
        <f t="array" ref="F23">_xlfn.XLOOKUP(A23,'Automation Prepping'!$A$2:'Automation Prepping'!$A$315, 'Automation Prepping'!$H$2:'Automation Prepping'!$H$315)</f>
        <v>Y</v>
      </c>
      <c r="I23" t="s">
        <v>1448</v>
      </c>
      <c r="L23" t="str" cm="1">
        <f t="array" ref="L23">_xlfn.XLOOKUP(A23,'Automation Prepping'!$A$2:'Automation Prepping'!$A$315, 'Automation Prepping'!$I$2:'Automation Prepping'!$I$315)</f>
        <v>https://advance-lexis-com.ezproxy.library.tufts.edu/search/?pdmfid=1516831&amp;crid=f5c75d3c-cf7a-4550-ba19-5bd871ca8a5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idaso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24" spans="1:12" ht="16" x14ac:dyDescent="0.2">
      <c r="A24" s="49" t="s">
        <v>99</v>
      </c>
      <c r="B24" s="49" t="s">
        <v>100</v>
      </c>
      <c r="C24" s="63" t="str" cm="1">
        <f t="array" ref="C24">_xlfn.XLOOKUP(A24,'Automation Prepping'!$A$2:'Automation Prepping'!$A$315, 'Automation Prepping'!$D$2:'Automation Prepping'!$D$315)</f>
        <v>N</v>
      </c>
      <c r="D24" t="str" cm="1">
        <f t="array" ref="D24">_xlfn.XLOOKUP(A24,'Automation Prepping'!$A$2:'Automation Prepping'!$A$315, 'Automation Prepping'!$F$2:'Automation Prepping'!$F$315)</f>
        <v>Need Add to 2024</v>
      </c>
      <c r="F24" cm="1">
        <f t="array" ref="F24">_xlfn.XLOOKUP(A24,'Automation Prepping'!$A$2:'Automation Prepping'!$A$315, 'Automation Prepping'!$H$2:'Automation Prepping'!$H$315)</f>
        <v>0</v>
      </c>
      <c r="I24" t="s">
        <v>1448</v>
      </c>
      <c r="L24" t="str" cm="1">
        <f t="array" ref="L24">_xlfn.XLOOKUP(A24,'Automation Prepping'!$A$2:'Automation Prepping'!$A$315, 'Automation Prepping'!$I$2:'Automation Prepping'!$I$315)</f>
        <v>https://advance-lexis-com.ezproxy.library.tufts.edu/search/?pdmfid=1516831&amp;crid=9354e9ef-0eaa-4cf0-aa72-d327a5092ae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nito+OR+Nte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ea21021-dc37-4a81-b832-05155671fa9c</v>
      </c>
    </row>
    <row r="25" spans="1:12" ht="16" x14ac:dyDescent="0.2">
      <c r="A25" s="49" t="s">
        <v>102</v>
      </c>
      <c r="B25" s="49" t="s">
        <v>101</v>
      </c>
      <c r="C25" s="63" t="str" cm="1">
        <f t="array" ref="C25">_xlfn.XLOOKUP(A25,'Automation Prepping'!$A$2:'Automation Prepping'!$A$315, 'Automation Prepping'!$D$2:'Automation Prepping'!$D$315)</f>
        <v>Y (1 July 2023)</v>
      </c>
      <c r="D25" t="str" cm="1">
        <f t="array" ref="D25">_xlfn.XLOOKUP(A25,'Automation Prepping'!$A$2:'Automation Prepping'!$A$315, 'Automation Prepping'!$F$2:'Automation Prepping'!$F$315)</f>
        <v>Y</v>
      </c>
      <c r="F25" t="str" cm="1">
        <f t="array" ref="F25">_xlfn.XLOOKUP(A25,'Automation Prepping'!$A$2:'Automation Prepping'!$A$315, 'Automation Prepping'!$H$2:'Automation Prepping'!$H$315)</f>
        <v>Y</v>
      </c>
      <c r="I25" t="s">
        <v>1448</v>
      </c>
      <c r="L25" t="str" cm="1">
        <f t="array" ref="L25">_xlfn.XLOOKUP(A25,'Automation Prepping'!$A$2:'Automation Prepping'!$A$315, 'Automation Prepping'!$I$2:'Automation Prepping'!$I$315)</f>
        <v>https://advance-lexis-com.ezproxy.library.tufts.edu/search/?pdmfid=1516831&amp;crid=92b2a1b4-db1b-411e-8c2e-920b95ed23d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26" spans="1:12" ht="16" x14ac:dyDescent="0.2">
      <c r="A26" s="49" t="s">
        <v>104</v>
      </c>
      <c r="B26" s="49" t="s">
        <v>103</v>
      </c>
      <c r="C26" s="63" t="str" cm="1">
        <f t="array" ref="C26">_xlfn.XLOOKUP(A26,'Automation Prepping'!$A$2:'Automation Prepping'!$A$315, 'Automation Prepping'!$D$2:'Automation Prepping'!$D$315)</f>
        <v>Y (1 July 2023)</v>
      </c>
      <c r="D26" t="str" cm="1">
        <f t="array" ref="D26">_xlfn.XLOOKUP(A26,'Automation Prepping'!$A$2:'Automation Prepping'!$A$315, 'Automation Prepping'!$F$2:'Automation Prepping'!$F$315)</f>
        <v>Y</v>
      </c>
      <c r="F26" t="str" cm="1">
        <f t="array" ref="F26">_xlfn.XLOOKUP(A26,'Automation Prepping'!$A$2:'Automation Prepping'!$A$315, 'Automation Prepping'!$H$2:'Automation Prepping'!$H$315)</f>
        <v>Y</v>
      </c>
      <c r="I26" t="s">
        <v>1448</v>
      </c>
      <c r="L26" t="str" cm="1">
        <f t="array" ref="L26">_xlfn.XLOOKUP(A26,'Automation Prepping'!$A$2:'Automation Prepping'!$A$315, 'Automation Prepping'!$I$2:'Automation Prepping'!$I$315)</f>
        <v>https://advance-lexis-com.ezproxy.library.tufts.edu/search/?pdmfid=1516831&amp;crid=e888d314-77f7-4e3f-a2f1-865073da9bb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ilu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27" spans="1:12" ht="16" x14ac:dyDescent="0.2">
      <c r="A27" s="49" t="s">
        <v>106</v>
      </c>
      <c r="B27" s="49" t="s">
        <v>107</v>
      </c>
      <c r="C27" s="63" t="str" cm="1">
        <f t="array" ref="C27">_xlfn.XLOOKUP(A27,'Automation Prepping'!$A$2:'Automation Prepping'!$A$315, 'Automation Prepping'!$D$2:'Automation Prepping'!$D$315)</f>
        <v>Y (1 July 2023)</v>
      </c>
      <c r="D27" t="str" cm="1">
        <f t="array" ref="D27">_xlfn.XLOOKUP(A27,'Automation Prepping'!$A$2:'Automation Prepping'!$A$315, 'Automation Prepping'!$F$2:'Automation Prepping'!$F$315)</f>
        <v>Y</v>
      </c>
      <c r="F27" t="str" cm="1">
        <f t="array" ref="F27">_xlfn.XLOOKUP(A27,'Automation Prepping'!$A$2:'Automation Prepping'!$A$315, 'Automation Prepping'!$H$2:'Automation Prepping'!$H$315)</f>
        <v>Y</v>
      </c>
      <c r="I27" t="s">
        <v>1448</v>
      </c>
      <c r="L27" t="str" cm="1">
        <f t="array" ref="L27">_xlfn.XLOOKUP(A27,'Automation Prepping'!$A$2:'Automation Prepping'!$A$315, 'Automation Prepping'!$I$2:'Automation Prepping'!$I$315)</f>
        <v>https://advance-lexis-com.ezproxy.library.tufts.edu/search/?pdmfid=1516831&amp;crid=f7b4e445-5373-4006-aeb7-2496d0d52126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lize+OR+Mop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28" spans="1:12" ht="16" x14ac:dyDescent="0.2">
      <c r="A28" s="49" t="s">
        <v>109</v>
      </c>
      <c r="B28" s="49" t="s">
        <v>108</v>
      </c>
      <c r="C28" s="63" t="str" cm="1">
        <f t="array" ref="C28">_xlfn.XLOOKUP(A28,'Automation Prepping'!$A$2:'Automation Prepping'!$A$315, 'Automation Prepping'!$D$2:'Automation Prepping'!$D$315)</f>
        <v>Y (1 July 2023)</v>
      </c>
      <c r="D28" t="str" cm="1">
        <f t="array" ref="D28">_xlfn.XLOOKUP(A28,'Automation Prepping'!$A$2:'Automation Prepping'!$A$315, 'Automation Prepping'!$F$2:'Automation Prepping'!$F$315)</f>
        <v>Y</v>
      </c>
      <c r="F28" t="str" cm="1">
        <f t="array" ref="F28">_xlfn.XLOOKUP(A28,'Automation Prepping'!$A$2:'Automation Prepping'!$A$315, 'Automation Prepping'!$H$2:'Automation Prepping'!$H$315)</f>
        <v>Y</v>
      </c>
      <c r="I28" t="s">
        <v>1448</v>
      </c>
      <c r="L28" t="str" cm="1">
        <f t="array" ref="L28">_xlfn.XLOOKUP(A28,'Automation Prepping'!$A$2:'Automation Prepping'!$A$315, 'Automation Prepping'!$I$2:'Automation Prepping'!$I$315)</f>
        <v>https://advance-lexis-com.ezproxy.library.tufts.edu/search/?pdmfid=1516831&amp;crid=180415c0-8e43-4520-8653-869158ff96b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nga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29" spans="1:12" ht="32" x14ac:dyDescent="0.2">
      <c r="A29" s="49" t="s">
        <v>111</v>
      </c>
      <c r="B29" s="49" t="s">
        <v>110</v>
      </c>
      <c r="C29" s="63" t="str" cm="1">
        <f t="array" ref="C29">_xlfn.XLOOKUP(A29,'Automation Prepping'!$A$2:'Automation Prepping'!$A$315, 'Automation Prepping'!$D$2:'Automation Prepping'!$D$315)</f>
        <v>Y (1 July 2023)</v>
      </c>
      <c r="D29" cm="1">
        <f t="array" ref="D29">_xlfn.XLOOKUP(A29,'Automation Prepping'!$A$2:'Automation Prepping'!$A$315, 'Automation Prepping'!$F$2:'Automation Prepping'!$F$315)</f>
        <v>0</v>
      </c>
      <c r="F29" cm="1">
        <f t="array" ref="F29">_xlfn.XLOOKUP(A29,'Automation Prepping'!$A$2:'Automation Prepping'!$A$315, 'Automation Prepping'!$H$2:'Automation Prepping'!$H$315)</f>
        <v>0</v>
      </c>
      <c r="I29" t="s">
        <v>1448</v>
      </c>
      <c r="L29" t="str" cm="1">
        <f t="array" ref="L29">_xlfn.XLOOKUP(A29,'Automation Prepping'!$A$2:'Automation Prepping'!$A$315, 'Automation Prepping'!$I$2:'Automation Prepping'!$I$315)</f>
        <v>https://advance-lexis-com.ezproxy.library.tufts.edu/search/?pdmfid=1516831&amp;crid=41dc382b-a91d-42df-85a9-8090b5e4ac77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ed+Bou+Namouss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30" spans="1:12" ht="16" x14ac:dyDescent="0.2">
      <c r="A30" s="49" t="s">
        <v>113</v>
      </c>
      <c r="B30" s="49" t="s">
        <v>112</v>
      </c>
      <c r="C30" s="63" t="str" cm="1">
        <f t="array" ref="C30">_xlfn.XLOOKUP(A30,'Automation Prepping'!$A$2:'Automation Prepping'!$A$315, 'Automation Prepping'!$D$2:'Automation Prepping'!$D$315)</f>
        <v>Y (1 July 2023)</v>
      </c>
      <c r="D30" cm="1">
        <f t="array" ref="D30">_xlfn.XLOOKUP(A30,'Automation Prepping'!$A$2:'Automation Prepping'!$A$315, 'Automation Prepping'!$F$2:'Automation Prepping'!$F$315)</f>
        <v>0</v>
      </c>
      <c r="F30" cm="1">
        <f t="array" ref="F30">_xlfn.XLOOKUP(A30,'Automation Prepping'!$A$2:'Automation Prepping'!$A$315, 'Automation Prepping'!$H$2:'Automation Prepping'!$H$315)</f>
        <v>0</v>
      </c>
      <c r="I30" t="s">
        <v>1448</v>
      </c>
      <c r="L30" t="str" cm="1">
        <f t="array" ref="L30">_xlfn.XLOOKUP(A30,'Automation Prepping'!$A$2:'Automation Prepping'!$A$315, 'Automation Prepping'!$I$2:'Automation Prepping'!$I$315)</f>
        <v>https://advance-lexis-com.ezproxy.library.tufts.edu/search/?pdmfid=1516831&amp;crid=5cfdbf52-01c6-4ea6-a2f1-45a00a7aa495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erbyelv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31" spans="1:12" ht="16" x14ac:dyDescent="0.2">
      <c r="A31" s="49" t="s">
        <v>116</v>
      </c>
      <c r="B31" s="49" t="s">
        <v>115</v>
      </c>
      <c r="C31" s="63" t="str" cm="1">
        <f t="array" ref="C31">_xlfn.XLOOKUP(A31,'Automation Prepping'!$A$2:'Automation Prepping'!$A$315, 'Automation Prepping'!$D$2:'Automation Prepping'!$D$315)</f>
        <v>Y (1 July 2023)</v>
      </c>
      <c r="D31" t="str" cm="1">
        <f t="array" ref="D31">_xlfn.XLOOKUP(A31,'Automation Prepping'!$A$2:'Automation Prepping'!$A$315, 'Automation Prepping'!$F$2:'Automation Prepping'!$F$315)</f>
        <v>Y</v>
      </c>
      <c r="F31" t="str" cm="1">
        <f t="array" ref="F31">_xlfn.XLOOKUP(A31,'Automation Prepping'!$A$2:'Automation Prepping'!$A$315, 'Automation Prepping'!$H$2:'Automation Prepping'!$H$315)</f>
        <v>Y</v>
      </c>
      <c r="I31" t="s">
        <v>1448</v>
      </c>
      <c r="L31" t="str" cm="1">
        <f t="array" ref="L31">_xlfn.XLOOKUP(A31,'Automation Prepping'!$A$2:'Automation Prepping'!$A$315, 'Automation Prepping'!$I$2:'Automation Prepping'!$I$315)</f>
        <v>https://advance-lexis-com.ezproxy.library.tufts.edu/search/?pdmfid=1516831&amp;crid=a82cb786-4b70-48df-b5a3-d11279eb2ba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ra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32" spans="1:12" ht="16" x14ac:dyDescent="0.2">
      <c r="A32" s="49" t="s">
        <v>118</v>
      </c>
      <c r="B32" s="49" t="s">
        <v>117</v>
      </c>
      <c r="C32" s="63" t="str" cm="1">
        <f t="array" ref="C32">_xlfn.XLOOKUP(A32,'Automation Prepping'!$A$2:'Automation Prepping'!$A$315, 'Automation Prepping'!$D$2:'Automation Prepping'!$D$315)</f>
        <v>Y (1 July 2023)</v>
      </c>
      <c r="D32" t="str" cm="1">
        <f t="array" ref="D32">_xlfn.XLOOKUP(A32,'Automation Prepping'!$A$2:'Automation Prepping'!$A$315, 'Automation Prepping'!$F$2:'Automation Prepping'!$F$315)</f>
        <v>Y</v>
      </c>
      <c r="F32" t="str" cm="1">
        <f t="array" ref="F32">_xlfn.XLOOKUP(A32,'Automation Prepping'!$A$2:'Automation Prepping'!$A$315, 'Automation Prepping'!$H$2:'Automation Prepping'!$H$315)</f>
        <v>Y</v>
      </c>
      <c r="I32" t="s">
        <v>1448</v>
      </c>
      <c r="L32" t="str" cm="1">
        <f t="array" ref="L32">_xlfn.XLOOKUP(A32,'Automation Prepping'!$A$2:'Automation Prepping'!$A$315, 'Automation Prepping'!$I$2:'Automation Prepping'!$I$315)</f>
        <v>https://advance-lexis-com.ezproxy.library.tufts.edu/search/?pdmfid=1516831&amp;crid=cbc2aefd-5148-4695-98b2-d760dfa96dc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ri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33" spans="1:12" ht="16" x14ac:dyDescent="0.2">
      <c r="A33" s="49" t="s">
        <v>120</v>
      </c>
      <c r="B33" s="49" t="s">
        <v>119</v>
      </c>
      <c r="C33" s="63" t="str" cm="1">
        <f t="array" ref="C33">_xlfn.XLOOKUP(A33,'Automation Prepping'!$A$2:'Automation Prepping'!$A$315, 'Automation Prepping'!$D$2:'Automation Prepping'!$D$315)</f>
        <v>Y (1 July 2023)</v>
      </c>
      <c r="D33" t="str" cm="1">
        <f t="array" ref="D33">_xlfn.XLOOKUP(A33,'Automation Prepping'!$A$2:'Automation Prepping'!$A$315, 'Automation Prepping'!$F$2:'Automation Prepping'!$F$315)</f>
        <v>Y</v>
      </c>
      <c r="F33" t="str" cm="1">
        <f t="array" ref="F33">_xlfn.XLOOKUP(A33,'Automation Prepping'!$A$2:'Automation Prepping'!$A$315, 'Automation Prepping'!$H$2:'Automation Prepping'!$H$315)</f>
        <v>Y</v>
      </c>
      <c r="I33" t="s">
        <v>1448</v>
      </c>
      <c r="L33" t="str" cm="1">
        <f t="array" ref="L33">_xlfn.XLOOKUP(A33,'Automation Prepping'!$A$2:'Automation Prepping'!$A$315, 'Automation Prepping'!$I$2:'Automation Prepping'!$I$315)</f>
        <v>https://advance-lexis-com.ezproxy.library.tufts.edu/search/?pdmfid=1516831&amp;crid=83bf363b-a1d9-444b-857d-cc3861d0b5b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art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34" spans="1:12" ht="16" x14ac:dyDescent="0.2">
      <c r="A34" s="49" t="s">
        <v>122</v>
      </c>
      <c r="B34" s="49" t="s">
        <v>123</v>
      </c>
      <c r="C34" s="63" t="str" cm="1">
        <f t="array" ref="C34">_xlfn.XLOOKUP(A34,'Automation Prepping'!$A$2:'Automation Prepping'!$A$315, 'Automation Prepping'!$D$2:'Automation Prepping'!$D$315)</f>
        <v>N</v>
      </c>
      <c r="D34" t="str" cm="1">
        <f t="array" ref="D34">_xlfn.XLOOKUP(A34,'Automation Prepping'!$A$2:'Automation Prepping'!$A$315, 'Automation Prepping'!$F$2:'Automation Prepping'!$F$315)</f>
        <v>Y</v>
      </c>
      <c r="F34" t="str" cm="1">
        <f t="array" ref="F34">_xlfn.XLOOKUP(A34,'Automation Prepping'!$A$2:'Automation Prepping'!$A$315, 'Automation Prepping'!$H$2:'Automation Prepping'!$H$315)</f>
        <v>Y</v>
      </c>
      <c r="I34" t="s">
        <v>1448</v>
      </c>
      <c r="L34" t="str" cm="1">
        <f t="array" ref="L34">_xlfn.XLOOKUP(A34,'Automation Prepping'!$A$2:'Automation Prepping'!$A$315, 'Automation Prepping'!$I$2:'Automation Prepping'!$I$315)</f>
        <v>https://advance-lexis-com.ezproxy.library.tufts.edu/search/?pdmfid=1516831&amp;crid=4cf3c068-91d1-4158-8a98-9c24e56be26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Buzi+OR+Rio+Revue+OR+Chibudzana+OR+Nyanhombo+OR+CAPS(Rio)+OR+Sterkstroo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v>
      </c>
    </row>
    <row r="35" spans="1:12" ht="16" x14ac:dyDescent="0.2">
      <c r="A35" s="49" t="s">
        <v>125</v>
      </c>
      <c r="B35" s="49" t="s">
        <v>124</v>
      </c>
      <c r="C35" s="63" t="str" cm="1">
        <f t="array" ref="C35">_xlfn.XLOOKUP(A35,'Automation Prepping'!$A$2:'Automation Prepping'!$A$315, 'Automation Prepping'!$D$2:'Automation Prepping'!$D$315)</f>
        <v>Y (1 July 2023)</v>
      </c>
      <c r="D35" t="str" cm="1">
        <f t="array" ref="D35">_xlfn.XLOOKUP(A35,'Automation Prepping'!$A$2:'Automation Prepping'!$A$315, 'Automation Prepping'!$F$2:'Automation Prepping'!$F$315)</f>
        <v>Y</v>
      </c>
      <c r="F35" t="str" cm="1">
        <f t="array" ref="F35">_xlfn.XLOOKUP(A35,'Automation Prepping'!$A$2:'Automation Prepping'!$A$315, 'Automation Prepping'!$H$2:'Automation Prepping'!$H$315)</f>
        <v>Y</v>
      </c>
      <c r="L35" t="str" cm="1">
        <f t="array" ref="L35">_xlfn.XLOOKUP(A35,'Automation Prepping'!$A$2:'Automation Prepping'!$A$315, 'Automation Prepping'!$I$2:'Automation Prepping'!$I$315)</f>
        <v>https://advance-lexis-com.ezproxy.library.tufts.edu/search/?pdmfid=1516831&amp;crid=8dc38fb9-1dca-4aea-a498-1a9a71a4b044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et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36" spans="1:12" ht="16" x14ac:dyDescent="0.2">
      <c r="A36" s="49" t="s">
        <v>127</v>
      </c>
      <c r="B36" s="49" t="s">
        <v>128</v>
      </c>
      <c r="C36" s="63" t="str" cm="1">
        <f t="array" ref="C36">_xlfn.XLOOKUP(A36,'Automation Prepping'!$A$2:'Automation Prepping'!$A$315, 'Automation Prepping'!$D$2:'Automation Prepping'!$D$315)</f>
        <v>N</v>
      </c>
      <c r="D36" t="str" cm="1">
        <f t="array" ref="D36">_xlfn.XLOOKUP(A36,'Automation Prepping'!$A$2:'Automation Prepping'!$A$315, 'Automation Prepping'!$F$2:'Automation Prepping'!$F$315)</f>
        <v>Y</v>
      </c>
      <c r="F36" t="str" cm="1">
        <f t="array" ref="F36">_xlfn.XLOOKUP(A36,'Automation Prepping'!$A$2:'Automation Prepping'!$A$315, 'Automation Prepping'!$H$2:'Automation Prepping'!$H$315)</f>
        <v>Y</v>
      </c>
      <c r="I36" t="s">
        <v>1448</v>
      </c>
      <c r="L36" t="str" cm="1">
        <f t="array" ref="L36">_xlfn.XLOOKUP(A36,'Automation Prepping'!$A$2:'Automation Prepping'!$A$315, 'Automation Prepping'!$I$2:'Automation Prepping'!$I$315)</f>
        <v>https://advance-lexis-com.ezproxy.library.tufts.edu/search/?pdmfid=1516831&amp;crid=4345e65f-f82e-4ac4-a27f-aa5d25e37c8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OR+Song+La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v>
      </c>
    </row>
    <row r="37" spans="1:12" ht="16" x14ac:dyDescent="0.2">
      <c r="A37" s="49" t="s">
        <v>130</v>
      </c>
      <c r="B37" s="49" t="s">
        <v>129</v>
      </c>
      <c r="C37" s="63" t="str" cm="1">
        <f t="array" ref="C37">_xlfn.XLOOKUP(A37,'Automation Prepping'!$A$2:'Automation Prepping'!$A$315, 'Automation Prepping'!$D$2:'Automation Prepping'!$D$315)</f>
        <v>Y (1 July 2023)</v>
      </c>
      <c r="D37" t="str" cm="1">
        <f t="array" ref="D37">_xlfn.XLOOKUP(A37,'Automation Prepping'!$A$2:'Automation Prepping'!$A$315, 'Automation Prepping'!$F$2:'Automation Prepping'!$F$315)</f>
        <v>Y</v>
      </c>
      <c r="F37" t="str" cm="1">
        <f t="array" ref="F37">_xlfn.XLOOKUP(A37,'Automation Prepping'!$A$2:'Automation Prepping'!$A$315, 'Automation Prepping'!$H$2:'Automation Prepping'!$H$315)</f>
        <v>Y</v>
      </c>
      <c r="L37" t="str" cm="1">
        <f t="array" ref="L37">_xlfn.XLOOKUP(A37,'Automation Prepping'!$A$2:'Automation Prepping'!$A$315, 'Automation Prepping'!$I$2:'Automation Prepping'!$I$315)</f>
        <v>https://advance-lexis-com.ezproxy.library.tufts.edu/search/?pdmfid=1516831&amp;crid=4a02d1eb-ab6e-4993-a8db-953c415e9d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ndelar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38" spans="1:12" ht="16" x14ac:dyDescent="0.2">
      <c r="A38" s="49" t="s">
        <v>132</v>
      </c>
      <c r="B38" s="49" t="s">
        <v>131</v>
      </c>
      <c r="C38" s="63" t="str" cm="1">
        <f t="array" ref="C38">_xlfn.XLOOKUP(A38,'Automation Prepping'!$A$2:'Automation Prepping'!$A$315, 'Automation Prepping'!$D$2:'Automation Prepping'!$D$315)</f>
        <v>Y (1 July 2023)</v>
      </c>
      <c r="D38" t="str" cm="1">
        <f t="array" ref="D38">_xlfn.XLOOKUP(A38,'Automation Prepping'!$A$2:'Automation Prepping'!$A$315, 'Automation Prepping'!$F$2:'Automation Prepping'!$F$315)</f>
        <v>Y</v>
      </c>
      <c r="F38" t="str" cm="1">
        <f t="array" ref="F38">_xlfn.XLOOKUP(A38,'Automation Prepping'!$A$2:'Automation Prepping'!$A$315, 'Automation Prepping'!$H$2:'Automation Prepping'!$H$315)</f>
        <v>Y</v>
      </c>
      <c r="L38" t="str" cm="1">
        <f t="array" ref="L38">_xlfn.XLOOKUP(A38,'Automation Prepping'!$A$2:'Automation Prepping'!$A$315, 'Automation Prepping'!$I$2:'Automation Prepping'!$I$315)</f>
        <v>https://advance-lexis-com.ezproxy.library.tufts.edu/search/?pdmfid=1516831&amp;crid=edb82f26-b73e-449e-bf22-01365ce02f16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anguino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39" spans="1:12" ht="32" x14ac:dyDescent="0.2">
      <c r="A39" s="49" t="s">
        <v>134</v>
      </c>
      <c r="B39" s="49" t="s">
        <v>135</v>
      </c>
      <c r="C39" s="63" t="str" cm="1">
        <f t="array" ref="C39">_xlfn.XLOOKUP(A39,'Automation Prepping'!$A$2:'Automation Prepping'!$A$315, 'Automation Prepping'!$D$2:'Automation Prepping'!$D$315)</f>
        <v>Y (1 July 2023)</v>
      </c>
      <c r="D39" t="str" cm="1">
        <f t="array" ref="D39">_xlfn.XLOOKUP(A39,'Automation Prepping'!$A$2:'Automation Prepping'!$A$315, 'Automation Prepping'!$F$2:'Automation Prepping'!$F$315)</f>
        <v>Y</v>
      </c>
      <c r="F39" t="str" cm="1">
        <f t="array" ref="F39">_xlfn.XLOOKUP(A39,'Automation Prepping'!$A$2:'Automation Prepping'!$A$315, 'Automation Prepping'!$H$2:'Automation Prepping'!$H$315)</f>
        <v>Y</v>
      </c>
      <c r="L39" t="str" cm="1">
        <f t="array" ref="L39">_xlfn.XLOOKUP(A39,'Automation Prepping'!$A$2:'Automation Prepping'!$A$315, 'Automation Prepping'!$I$2:'Automation Prepping'!$I$315)</f>
        <v>https://advance-lexis-com.ezproxy.library.tufts.edu/search/?pdmfid=1516831&amp;crid=d06c77df-579e-42f5-9551-f4566ff78792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rmen+Silva+OR+Chic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40" spans="1:12" ht="16" x14ac:dyDescent="0.2">
      <c r="A40" s="49" t="s">
        <v>137</v>
      </c>
      <c r="B40" s="49" t="s">
        <v>136</v>
      </c>
      <c r="C40" s="63" t="str" cm="1">
        <f t="array" ref="C40">_xlfn.XLOOKUP(A40,'Automation Prepping'!$A$2:'Automation Prepping'!$A$315, 'Automation Prepping'!$D$2:'Automation Prepping'!$D$315)</f>
        <v>Y (1 July 2023)</v>
      </c>
      <c r="D40" t="str" cm="1">
        <f t="array" ref="D40">_xlfn.XLOOKUP(A40,'Automation Prepping'!$A$2:'Automation Prepping'!$A$315, 'Automation Prepping'!$F$2:'Automation Prepping'!$F$315)</f>
        <v>Y</v>
      </c>
      <c r="F40" t="str" cm="1">
        <f t="array" ref="F40">_xlfn.XLOOKUP(A40,'Automation Prepping'!$A$2:'Automation Prepping'!$A$315, 'Automation Prepping'!$H$2:'Automation Prepping'!$H$315)</f>
        <v>Y</v>
      </c>
      <c r="L40" t="str" cm="1">
        <f t="array" ref="L40">_xlfn.XLOOKUP(A40,'Automation Prepping'!$A$2:'Automation Prepping'!$A$315, 'Automation Prepping'!$I$2:'Automation Prepping'!$I$315)</f>
        <v>https://advance-lexis-com.ezproxy.library.tufts.edu/search/?pdmfid=1516831&amp;crid=c7ab914a-5f9f-4dc7-be90-0adb54b29f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i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41" spans="1:12" ht="16" x14ac:dyDescent="0.2">
      <c r="A41" s="49" t="s">
        <v>139</v>
      </c>
      <c r="B41" s="49" t="s">
        <v>138</v>
      </c>
      <c r="C41" s="63" t="str" cm="1">
        <f t="array" ref="C41">_xlfn.XLOOKUP(A41,'Automation Prepping'!$A$2:'Automation Prepping'!$A$315, 'Automation Prepping'!$D$2:'Automation Prepping'!$D$315)</f>
        <v>Y (1 July 2023)</v>
      </c>
      <c r="D41" t="str" cm="1">
        <f t="array" ref="D41">_xlfn.XLOOKUP(A41,'Automation Prepping'!$A$2:'Automation Prepping'!$A$315, 'Automation Prepping'!$F$2:'Automation Prepping'!$F$315)</f>
        <v>Y</v>
      </c>
      <c r="F41" t="str" cm="1">
        <f t="array" ref="F41">_xlfn.XLOOKUP(A41,'Automation Prepping'!$A$2:'Automation Prepping'!$A$315, 'Automation Prepping'!$H$2:'Automation Prepping'!$H$315)</f>
        <v>Y</v>
      </c>
      <c r="L41" t="str" cm="1">
        <f t="array" ref="L41">_xlfn.XLOOKUP(A41,'Automation Prepping'!$A$2:'Automation Prepping'!$A$315, 'Automation Prepping'!$I$2:'Automation Prepping'!$I$315)</f>
        <v>https://advance-lexis-com.ezproxy.library.tufts.edu/search/?pdmfid=1516831&amp;crid=d1d9aa4a-9463-4b32-a6a0-e894c7f37274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olute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42" spans="1:12" ht="16" x14ac:dyDescent="0.2">
      <c r="A42" s="49" t="s">
        <v>141</v>
      </c>
      <c r="B42" s="49" t="s">
        <v>140</v>
      </c>
      <c r="C42" s="63" t="str" cm="1">
        <f t="array" ref="C42">_xlfn.XLOOKUP(A42,'Automation Prepping'!$A$2:'Automation Prepping'!$A$315, 'Automation Prepping'!$D$2:'Automation Prepping'!$D$315)</f>
        <v>Y (1 July 2023)</v>
      </c>
      <c r="D42" t="str" cm="1">
        <f t="array" ref="D42">_xlfn.XLOOKUP(A42,'Automation Prepping'!$A$2:'Automation Prepping'!$A$315, 'Automation Prepping'!$F$2:'Automation Prepping'!$F$315)</f>
        <v>Y</v>
      </c>
      <c r="F42" t="str" cm="1">
        <f t="array" ref="F42">_xlfn.XLOOKUP(A42,'Automation Prepping'!$A$2:'Automation Prepping'!$A$315, 'Automation Prepping'!$H$2:'Automation Prepping'!$H$315)</f>
        <v>Y</v>
      </c>
      <c r="L42" t="str" cm="1">
        <f t="array" ref="L42">_xlfn.XLOOKUP(A42,'Automation Prepping'!$A$2:'Automation Prepping'!$A$315, 'Automation Prepping'!$I$2:'Automation Prepping'!$I$315)</f>
        <v>https://advance-lexis-com.ezproxy.library.tufts.edu/search/?pdmfid=1516831&amp;crid=632e06c9-07a1-4ca6-8e4b-bda84799c3c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u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43" spans="1:12" ht="16" x14ac:dyDescent="0.2">
      <c r="A43" s="49" t="s">
        <v>143</v>
      </c>
      <c r="B43" s="49" t="s">
        <v>144</v>
      </c>
      <c r="C43" s="63" t="str" cm="1">
        <f t="array" ref="C43">_xlfn.XLOOKUP(A43,'Automation Prepping'!$A$2:'Automation Prepping'!$A$315, 'Automation Prepping'!$D$2:'Automation Prepping'!$D$315)</f>
        <v>N</v>
      </c>
      <c r="D43" t="str" cm="1">
        <f t="array" ref="D43">_xlfn.XLOOKUP(A43,'Automation Prepping'!$A$2:'Automation Prepping'!$A$315, 'Automation Prepping'!$F$2:'Automation Prepping'!$F$315)</f>
        <v>Y</v>
      </c>
      <c r="F43" t="str" cm="1">
        <f t="array" ref="F43">_xlfn.XLOOKUP(A43,'Automation Prepping'!$A$2:'Automation Prepping'!$A$315, 'Automation Prepping'!$H$2:'Automation Prepping'!$H$315)</f>
        <v>Y</v>
      </c>
      <c r="I43" t="s">
        <v>1450</v>
      </c>
      <c r="L43" t="str" cm="1">
        <f t="array" ref="L43">_xlfn.XLOOKUP(A43,'Automation Prepping'!$A$2:'Automation Prepping'!$A$315, 'Automation Prepping'!$I$2:'Automation Prepping'!$I$315)</f>
        <v>https://advance-lexis-com.ezproxy.library.tufts.edu/search/?pdmfid=1516831&amp;crid=632539ee-495b-4fcb-bf75-744db69763dd&amp;pdpsf=&amp;pdpost=&amp;pdstartin=urn%3Ahlct%3A16&amp;oc</v>
      </c>
    </row>
    <row r="44" spans="1:12" ht="16" x14ac:dyDescent="0.2">
      <c r="A44" s="49" t="s">
        <v>146</v>
      </c>
      <c r="B44" s="49" t="s">
        <v>145</v>
      </c>
      <c r="C44" s="63" t="str" cm="1">
        <f t="array" ref="C44">_xlfn.XLOOKUP(A44,'Automation Prepping'!$A$2:'Automation Prepping'!$A$315, 'Automation Prepping'!$D$2:'Automation Prepping'!$D$315)</f>
        <v>Y (1 July 2023)</v>
      </c>
      <c r="D44" t="str" cm="1">
        <f t="array" ref="D44">_xlfn.XLOOKUP(A44,'Automation Prepping'!$A$2:'Automation Prepping'!$A$315, 'Automation Prepping'!$F$2:'Automation Prepping'!$F$315)</f>
        <v>Y</v>
      </c>
      <c r="F44" t="str" cm="1">
        <f t="array" ref="F44">_xlfn.XLOOKUP(A44,'Automation Prepping'!$A$2:'Automation Prepping'!$A$315, 'Automation Prepping'!$H$2:'Automation Prepping'!$H$315)</f>
        <v>Y</v>
      </c>
      <c r="L44" t="str" cm="1">
        <f t="array" ref="L44">_xlfn.XLOOKUP(A44,'Automation Prepping'!$A$2:'Automation Prepping'!$A$315, 'Automation Prepping'!$I$2:'Automation Prepping'!$I$315)</f>
        <v>https://advance-lexis-com.ezproxy.library.tufts.edu/search/?pdmfid=1516831&amp;crid=c83ef7b4-c5f7-49f1-9c9a-903371d8b94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ilka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45" spans="1:12" ht="16" x14ac:dyDescent="0.2">
      <c r="A45" s="49" t="s">
        <v>148</v>
      </c>
      <c r="B45" s="49" t="s">
        <v>149</v>
      </c>
      <c r="C45" s="63" t="str" cm="1">
        <f t="array" ref="C45">_xlfn.XLOOKUP(A45,'Automation Prepping'!$A$2:'Automation Prepping'!$A$315, 'Automation Prepping'!$D$2:'Automation Prepping'!$D$315)</f>
        <v>N</v>
      </c>
      <c r="D45" t="str" cm="1">
        <f t="array" ref="D45">_xlfn.XLOOKUP(A45,'Automation Prepping'!$A$2:'Automation Prepping'!$A$315, 'Automation Prepping'!$F$2:'Automation Prepping'!$F$315)</f>
        <v>In Progress</v>
      </c>
      <c r="F45" cm="1">
        <f t="array" ref="F45">_xlfn.XLOOKUP(A45,'Automation Prepping'!$A$2:'Automation Prepping'!$A$315, 'Automation Prepping'!$H$2:'Automation Prepping'!$H$315)</f>
        <v>0</v>
      </c>
      <c r="L45" t="str" cm="1">
        <f t="array" ref="L45">_xlfn.XLOOKUP(A45,'Automation Prepping'!$A$2:'Automation Prepping'!$A$315, 'Automation Prepping'!$I$2:'Automation Prepping'!$I$315)</f>
        <v>Search Not Running</v>
      </c>
    </row>
    <row r="46" spans="1:12" ht="16" x14ac:dyDescent="0.2">
      <c r="A46" s="49" t="s">
        <v>151</v>
      </c>
      <c r="B46" s="49" t="s">
        <v>150</v>
      </c>
      <c r="C46" s="63" t="str" cm="1">
        <f t="array" ref="C46">_xlfn.XLOOKUP(A46,'Automation Prepping'!$A$2:'Automation Prepping'!$A$315, 'Automation Prepping'!$D$2:'Automation Prepping'!$D$315)</f>
        <v>Y (1 July 2023)</v>
      </c>
      <c r="D46" cm="1">
        <f t="array" ref="D46">_xlfn.XLOOKUP(A46,'Automation Prepping'!$A$2:'Automation Prepping'!$A$315, 'Automation Prepping'!$F$2:'Automation Prepping'!$F$315)</f>
        <v>0</v>
      </c>
      <c r="F46" cm="1">
        <f t="array" ref="F46">_xlfn.XLOOKUP(A46,'Automation Prepping'!$A$2:'Automation Prepping'!$A$315, 'Automation Prepping'!$H$2:'Automation Prepping'!$H$315)</f>
        <v>0</v>
      </c>
      <c r="L46" t="str" cm="1">
        <f t="array" ref="L46">_xlfn.XLOOKUP(A46,'Automation Prepping'!$A$2:'Automation Prepping'!$A$315, 'Automation Prepping'!$I$2:'Automation Prepping'!$I$315)</f>
        <v>https://advance-lexis-com.ezproxy.library.tufts.edu/search/?pdmfid=1516831&amp;crid=8ee0d871-0154-4ed5-a30f-493d6eff1bd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hiloang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47" spans="1:12" ht="16" x14ac:dyDescent="0.2">
      <c r="A47" s="49" t="s">
        <v>154</v>
      </c>
      <c r="B47" s="49" t="s">
        <v>155</v>
      </c>
      <c r="C47" s="63" t="str" cm="1">
        <f t="array" ref="C47">_xlfn.XLOOKUP(A47,'Automation Prepping'!$A$2:'Automation Prepping'!$A$315, 'Automation Prepping'!$D$2:'Automation Prepping'!$D$315)</f>
        <v>Y (1 July 2023)</v>
      </c>
      <c r="D47" t="str" cm="1">
        <f t="array" ref="D47">_xlfn.XLOOKUP(A47,'Automation Prepping'!$A$2:'Automation Prepping'!$A$315, 'Automation Prepping'!$F$2:'Automation Prepping'!$F$315)</f>
        <v>Y</v>
      </c>
      <c r="F47" t="str" cm="1">
        <f t="array" ref="F47">_xlfn.XLOOKUP(A47,'Automation Prepping'!$A$2:'Automation Prepping'!$A$315, 'Automation Prepping'!$H$2:'Automation Prepping'!$H$315)</f>
        <v>Y</v>
      </c>
      <c r="L47" t="str" cm="1">
        <f t="array" ref="L47">_xlfn.XLOOKUP(A47,'Automation Prepping'!$A$2:'Automation Prepping'!$A$315, 'Automation Prepping'!$I$2:'Automation Prepping'!$I$315)</f>
        <v>https://advance-lexis-com.ezproxy.library.tufts.edu/search/?pdmfid=1516831&amp;crid=9f2ae588-eb46-47d6-a860-4c65475d23e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ncoso+OR+Lauca+OR+Lagoon+de+Coipas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48" spans="1:12" ht="16" x14ac:dyDescent="0.2">
      <c r="A48" s="49" t="s">
        <v>157</v>
      </c>
      <c r="B48" s="49" t="s">
        <v>156</v>
      </c>
      <c r="C48" s="63" t="str" cm="1">
        <f t="array" ref="C48">_xlfn.XLOOKUP(A48,'Automation Prepping'!$A$2:'Automation Prepping'!$A$315, 'Automation Prepping'!$D$2:'Automation Prepping'!$D$315)</f>
        <v>N</v>
      </c>
      <c r="D48" t="str" cm="1">
        <f t="array" ref="D48">_xlfn.XLOOKUP(A48,'Automation Prepping'!$A$2:'Automation Prepping'!$A$315, 'Automation Prepping'!$F$2:'Automation Prepping'!$F$315)</f>
        <v>Y</v>
      </c>
      <c r="F48" cm="1">
        <f t="array" ref="F48">_xlfn.XLOOKUP(A48,'Automation Prepping'!$A$2:'Automation Prepping'!$A$315, 'Automation Prepping'!$H$2:'Automation Prepping'!$H$315)</f>
        <v>0</v>
      </c>
      <c r="I48" t="s">
        <v>1448</v>
      </c>
      <c r="L48" t="str" cm="1">
        <f t="array" ref="L48">_xlfn.XLOOKUP(A48,'Automation Prepping'!$A$2:'Automation Prepping'!$A$315, 'Automation Prepping'!$I$2:'Automation Prepping'!$I$315)</f>
        <v>https://advance.lexis.com/search/?pdmfid=1516831&amp;crid=1bbf0658-8491-4737-8bae-31be6ae878b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nnecticu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102aeb2a-f850-4637-abc6-325ff14b68a9</v>
      </c>
    </row>
    <row r="49" spans="1:12" ht="16" x14ac:dyDescent="0.2">
      <c r="A49" s="49" t="s">
        <v>159</v>
      </c>
      <c r="B49" s="49" t="s">
        <v>160</v>
      </c>
      <c r="C49" s="63" t="str" cm="1">
        <f t="array" ref="C49">_xlfn.XLOOKUP(A49,'Automation Prepping'!$A$2:'Automation Prepping'!$A$315, 'Automation Prepping'!$D$2:'Automation Prepping'!$D$315)</f>
        <v>N</v>
      </c>
      <c r="D49" t="str" cm="1">
        <f t="array" ref="D49">_xlfn.XLOOKUP(A49,'Automation Prepping'!$A$2:'Automation Prepping'!$A$315, 'Automation Prepping'!$F$2:'Automation Prepping'!$F$315)</f>
        <v>In Progress</v>
      </c>
      <c r="F49" cm="1">
        <f t="array" ref="F49">_xlfn.XLOOKUP(A49,'Automation Prepping'!$A$2:'Automation Prepping'!$A$315, 'Automation Prepping'!$H$2:'Automation Prepping'!$H$315)</f>
        <v>0</v>
      </c>
      <c r="L49" t="str" cm="1">
        <f t="array" ref="L49">_xlfn.XLOOKUP(A49,'Automation Prepping'!$A$2:'Automation Prepping'!$A$315, 'Automation Prepping'!$I$2:'Automation Prepping'!$I$315)</f>
        <v xml:space="preserve">*Too big, search not running </v>
      </c>
    </row>
    <row r="50" spans="1:12" ht="16" x14ac:dyDescent="0.2">
      <c r="A50" s="49" t="s">
        <v>162</v>
      </c>
      <c r="B50" s="49" t="s">
        <v>163</v>
      </c>
      <c r="C50" s="63" t="str" cm="1">
        <f t="array" ref="C50">_xlfn.XLOOKUP(A50,'Automation Prepping'!$A$2:'Automation Prepping'!$A$315, 'Automation Prepping'!$D$2:'Automation Prepping'!$D$315)</f>
        <v>Y (1 July 2023)</v>
      </c>
      <c r="D50" t="str" cm="1">
        <f t="array" ref="D50">_xlfn.XLOOKUP(A50,'Automation Prepping'!$A$2:'Automation Prepping'!$A$315, 'Automation Prepping'!$F$2:'Automation Prepping'!$F$315)</f>
        <v>Y</v>
      </c>
      <c r="F50" t="str" cm="1">
        <f t="array" ref="F50">_xlfn.XLOOKUP(A50,'Automation Prepping'!$A$2:'Automation Prepping'!$A$315, 'Automation Prepping'!$H$2:'Automation Prepping'!$H$315)</f>
        <v>Y</v>
      </c>
      <c r="L50" t="str" cm="1">
        <f t="array" ref="L50">_xlfn.XLOOKUP(A50,'Automation Prepping'!$A$2:'Automation Prepping'!$A$315, 'Automation Prepping'!$I$2:'Automation Prepping'!$I$315)</f>
        <v>https://advance-lexis-com.ezproxy.library.tufts.edu/search/?pdmfid=1516831&amp;crid=9b0aa22b-8b13-49d7-9d2a-ec44d0c031f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Coco)+OR+Segovia+OR+Amaka+OR+Bocay+OR+Waspu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51" spans="1:12" ht="16" x14ac:dyDescent="0.2">
      <c r="A51" s="49" t="s">
        <v>165</v>
      </c>
      <c r="B51" s="49" t="s">
        <v>164</v>
      </c>
      <c r="C51" s="63" t="str" cm="1">
        <f t="array" ref="C51">_xlfn.XLOOKUP(A51,'Automation Prepping'!$A$2:'Automation Prepping'!$A$315, 'Automation Prepping'!$D$2:'Automation Prepping'!$D$315)</f>
        <v>Y (1 July 2023)</v>
      </c>
      <c r="D51" t="str" cm="1">
        <f t="array" ref="D51">_xlfn.XLOOKUP(A51,'Automation Prepping'!$A$2:'Automation Prepping'!$A$315, 'Automation Prepping'!$F$2:'Automation Prepping'!$F$315)</f>
        <v>Y</v>
      </c>
      <c r="F51" t="str" cm="1">
        <f t="array" ref="F51">_xlfn.XLOOKUP(A51,'Automation Prepping'!$A$2:'Automation Prepping'!$A$315, 'Automation Prepping'!$H$2:'Automation Prepping'!$H$315)</f>
        <v>Y</v>
      </c>
      <c r="L51" t="str" cm="1">
        <f t="array" ref="L51">_xlfn.XLOOKUP(A51,'Automation Prepping'!$A$2:'Automation Prepping'!$A$315, 'Automation Prepping'!$I$2:'Automation Prepping'!$I$315)</f>
        <v>https://advance-lexis-com.ezproxy.library.tufts.edu/search/?pdmfid=1516831&amp;crid=87b2a064-2cb7-4844-9af2-0b9042ecd5b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ma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52" spans="1:12" ht="16" x14ac:dyDescent="0.2">
      <c r="A52" s="49" t="s">
        <v>167</v>
      </c>
      <c r="B52" s="49" t="s">
        <v>168</v>
      </c>
      <c r="C52" s="63" t="str" cm="1">
        <f t="array" ref="C52">_xlfn.XLOOKUP(A52,'Automation Prepping'!$A$2:'Automation Prepping'!$A$315, 'Automation Prepping'!$D$2:'Automation Prepping'!$D$315)</f>
        <v>Y (1 July 2023)</v>
      </c>
      <c r="D52" t="str" cm="1">
        <f t="array" ref="D52">_xlfn.XLOOKUP(A52,'Automation Prepping'!$A$2:'Automation Prepping'!$A$315, 'Automation Prepping'!$F$2:'Automation Prepping'!$F$315)</f>
        <v>Y</v>
      </c>
      <c r="F52" t="str" cm="1">
        <f t="array" ref="F52">_xlfn.XLOOKUP(A52,'Automation Prepping'!$A$2:'Automation Prepping'!$A$315, 'Automation Prepping'!$H$2:'Automation Prepping'!$H$315)</f>
        <v>Y</v>
      </c>
      <c r="L52" t="str" cm="1">
        <f t="array" ref="L52">_xlfn.XLOOKUP(A52,'Automation Prepping'!$A$2:'Automation Prepping'!$A$315, 'Automation Prepping'!$I$2:'Automation Prepping'!$I$315)</f>
        <v>https://advance-lexis-com.ezproxy.library.tufts.edu/search/?pdmfid=1516831&amp;crid=7d4b6b02-803f-4af1-8e54-f4ba1b4b5f38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Coppe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53" spans="1:12" ht="16" x14ac:dyDescent="0.2">
      <c r="A53" s="49" t="s">
        <v>170</v>
      </c>
      <c r="B53" s="49" t="s">
        <v>171</v>
      </c>
      <c r="C53" s="63" t="str" cm="1">
        <f t="array" ref="C53">_xlfn.XLOOKUP(A53,'Automation Prepping'!$A$2:'Automation Prepping'!$A$315, 'Automation Prepping'!$D$2:'Automation Prepping'!$D$315)</f>
        <v>N</v>
      </c>
      <c r="D53" t="str" cm="1">
        <f t="array" ref="D53">_xlfn.XLOOKUP(A53,'Automation Prepping'!$A$2:'Automation Prepping'!$A$315, 'Automation Prepping'!$F$2:'Automation Prepping'!$F$315)</f>
        <v>Y</v>
      </c>
      <c r="F53" t="str" cm="1">
        <f t="array" ref="F53">_xlfn.XLOOKUP(A53,'Automation Prepping'!$A$2:'Automation Prepping'!$A$315, 'Automation Prepping'!$H$2:'Automation Prepping'!$H$315)</f>
        <v>Y</v>
      </c>
      <c r="I53" t="s">
        <v>1448</v>
      </c>
      <c r="L53" t="str" cm="1">
        <f t="array" ref="L53">_xlfn.XLOOKUP(A53,'Automation Prepping'!$A$2:'Automation Prepping'!$A$315, 'Automation Prepping'!$I$2:'Automation Prepping'!$I$315)</f>
        <v>https://advance.lexis.com/search/?pdmfid=1516831&amp;crid=1fff4352-9630-4cb1-9897-9e6b6e68ff3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Cros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6c061383-d2b1-49a1-9617-98848a94b271</v>
      </c>
    </row>
    <row r="54" spans="1:12" ht="32" x14ac:dyDescent="0.2">
      <c r="A54" s="49" t="s">
        <v>173</v>
      </c>
      <c r="B54" s="49" t="s">
        <v>174</v>
      </c>
      <c r="C54" s="63" t="str" cm="1">
        <f t="array" ref="C54">_xlfn.XLOOKUP(A54,'Automation Prepping'!$A$2:'Automation Prepping'!$A$315, 'Automation Prepping'!$D$2:'Automation Prepping'!$D$315)</f>
        <v>Y (1 July 2023)</v>
      </c>
      <c r="D54" t="str" cm="1">
        <f t="array" ref="D54">_xlfn.XLOOKUP(A54,'Automation Prepping'!$A$2:'Automation Prepping'!$A$315, 'Automation Prepping'!$F$2:'Automation Prepping'!$F$315)</f>
        <v>Need Add to 2024</v>
      </c>
      <c r="F54" cm="1">
        <f t="array" ref="F54">_xlfn.XLOOKUP(A54,'Automation Prepping'!$A$2:'Automation Prepping'!$A$315, 'Automation Prepping'!$H$2:'Automation Prepping'!$H$315)</f>
        <v>0</v>
      </c>
      <c r="L54" t="str" cm="1">
        <f t="array" ref="L54">_xlfn.XLOOKUP(A54,'Automation Prepping'!$A$2:'Automation Prepping'!$A$315, 'Automation Prepping'!$I$2:'Automation Prepping'!$I$315)</f>
        <v>https://advance-lexis-com.ezproxy.library.tufts.edu/search/?pdmfid=1516831&amp;crid=e5ee8e27-a878-45e0-ab85-a1124dfb2836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rantijn+OR+Couranty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55" spans="1:12" ht="16" x14ac:dyDescent="0.2">
      <c r="A55" s="49" t="s">
        <v>176</v>
      </c>
      <c r="B55" s="49" t="s">
        <v>175</v>
      </c>
      <c r="C55" s="63" t="str" cm="1">
        <f t="array" ref="C55">_xlfn.XLOOKUP(A55,'Automation Prepping'!$A$2:'Automation Prepping'!$A$315, 'Automation Prepping'!$D$2:'Automation Prepping'!$D$315)</f>
        <v>Y (1 July 2023)</v>
      </c>
      <c r="D55" t="str" cm="1">
        <f t="array" ref="D55">_xlfn.XLOOKUP(A55,'Automation Prepping'!$A$2:'Automation Prepping'!$A$315, 'Automation Prepping'!$F$2:'Automation Prepping'!$F$315)</f>
        <v>Y</v>
      </c>
      <c r="F55" t="str" cm="1">
        <f t="array" ref="F55">_xlfn.XLOOKUP(A55,'Automation Prepping'!$A$2:'Automation Prepping'!$A$315, 'Automation Prepping'!$H$2:'Automation Prepping'!$H$315)</f>
        <v>Y</v>
      </c>
      <c r="L55" t="str" cm="1">
        <f t="array" ref="L55">_xlfn.XLOOKUP(A55,'Automation Prepping'!$A$2:'Automation Prepping'!$A$315, 'Automation Prepping'!$I$2:'Automation Prepping'!$I$315)</f>
        <v>https://advance-lexis-com.ezproxy.library.tufts.edu/search/?pdmfid=1516831&amp;crid=5666a3e8-e8dc-45d4-b2f4-6a1a2c0e5d2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ru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56" spans="1:12" ht="16" x14ac:dyDescent="0.2">
      <c r="A56" s="49" t="s">
        <v>178</v>
      </c>
      <c r="B56" s="49" t="s">
        <v>177</v>
      </c>
      <c r="C56" s="63" t="str" cm="1">
        <f t="array" ref="C56">_xlfn.XLOOKUP(A56,'Automation Prepping'!$A$2:'Automation Prepping'!$A$315, 'Automation Prepping'!$D$2:'Automation Prepping'!$D$315)</f>
        <v>Y (1 July 2023)</v>
      </c>
      <c r="D56" t="str" cm="1">
        <f t="array" ref="D56">_xlfn.XLOOKUP(A56,'Automation Prepping'!$A$2:'Automation Prepping'!$A$315, 'Automation Prepping'!$F$2:'Automation Prepping'!$F$315)</f>
        <v>Y</v>
      </c>
      <c r="F56" t="str" cm="1">
        <f t="array" ref="F56">_xlfn.XLOOKUP(A56,'Automation Prepping'!$A$2:'Automation Prepping'!$A$315, 'Automation Prepping'!$H$2:'Automation Prepping'!$H$315)</f>
        <v>Y</v>
      </c>
      <c r="L56" t="str" cm="1">
        <f t="array" ref="L56">_xlfn.XLOOKUP(A56,'Automation Prepping'!$A$2:'Automation Prepping'!$A$315, 'Automation Prepping'!$I$2:'Automation Prepping'!$I$315)</f>
        <v>https://advance-lexis-com.ezproxy.library.tufts.edu/search/?pdmfid=1516831&amp;crid=b67f52b5-4a07-40ca-95d5-29796b831148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stletow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57" spans="1:12" ht="16" x14ac:dyDescent="0.2">
      <c r="A57" s="49" t="s">
        <v>180</v>
      </c>
      <c r="B57" s="49" t="s">
        <v>181</v>
      </c>
      <c r="C57" s="63" t="str" cm="1">
        <f t="array" ref="C57">_xlfn.XLOOKUP(A57,'Automation Prepping'!$A$2:'Automation Prepping'!$A$315, 'Automation Prepping'!$D$2:'Automation Prepping'!$D$315)</f>
        <v>Y (1 July 2023)</v>
      </c>
      <c r="D57" t="str" cm="1">
        <f t="array" ref="D57">_xlfn.XLOOKUP(A57,'Automation Prepping'!$A$2:'Automation Prepping'!$A$315, 'Automation Prepping'!$F$2:'Automation Prepping'!$F$315)</f>
        <v>Y</v>
      </c>
      <c r="F57" t="str" cm="1">
        <f t="array" ref="F57">_xlfn.XLOOKUP(A57,'Automation Prepping'!$A$2:'Automation Prepping'!$A$315, 'Automation Prepping'!$H$2:'Automation Prepping'!$H$315)</f>
        <v>Y</v>
      </c>
      <c r="L57" t="str" cm="1">
        <f t="array" ref="L57">_xlfn.XLOOKUP(A57,'Automation Prepping'!$A$2:'Automation Prepping'!$A$315, 'Automation Prepping'!$I$2:'Automation Prepping'!$I$315)</f>
        <v>https://advance-lexis-com.ezproxy.library.tufts.edu/search/?pdmfid=1516831&amp;crid=e99fba97-375b-4454-939d-33ffe5db2ff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estos+OR+Nuo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58" spans="1:12" ht="16" x14ac:dyDescent="0.2">
      <c r="A58" s="49" t="s">
        <v>183</v>
      </c>
      <c r="B58" s="49" t="s">
        <v>182</v>
      </c>
      <c r="C58" s="63" t="str" cm="1">
        <f t="array" ref="C58">_xlfn.XLOOKUP(A58,'Automation Prepping'!$A$2:'Automation Prepping'!$A$315, 'Automation Prepping'!$D$2:'Automation Prepping'!$D$315)</f>
        <v>Y (1 July 2023)</v>
      </c>
      <c r="D58" t="str" cm="1">
        <f t="array" ref="D58">_xlfn.XLOOKUP(A58,'Automation Prepping'!$A$2:'Automation Prepping'!$A$315, 'Automation Prepping'!$F$2:'Automation Prepping'!$F$315)</f>
        <v>Need Add to 2024</v>
      </c>
      <c r="F58" cm="1">
        <f t="array" ref="F58">_xlfn.XLOOKUP(A58,'Automation Prepping'!$A$2:'Automation Prepping'!$A$315, 'Automation Prepping'!$H$2:'Automation Prepping'!$H$315)</f>
        <v>0</v>
      </c>
      <c r="L58" t="str" cm="1">
        <f t="array" ref="L58">_xlfn.XLOOKUP(A58,'Automation Prepping'!$A$2:'Automation Prepping'!$A$315, 'Automation Prepping'!$I$2:'Automation Prepping'!$I$315)</f>
        <v>https://advance-lexis-com.ezproxy.library.tufts.edu/search/?pdmfid=1516831&amp;crid=ef213ed4-d774-4feb-9a7f-289863f632e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oatan+Achu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59" spans="1:12" ht="16" x14ac:dyDescent="0.2">
      <c r="A59" s="49" t="s">
        <v>185</v>
      </c>
      <c r="B59" s="49" t="s">
        <v>184</v>
      </c>
      <c r="C59" s="63" t="str" cm="1">
        <f t="array" ref="C59">_xlfn.XLOOKUP(A59,'Automation Prepping'!$A$2:'Automation Prepping'!$A$315, 'Automation Prepping'!$D$2:'Automation Prepping'!$D$315)</f>
        <v>Y (1 July 2023)</v>
      </c>
      <c r="D59" t="str" cm="1">
        <f t="array" ref="D59">_xlfn.XLOOKUP(A59,'Automation Prepping'!$A$2:'Automation Prepping'!$A$315, 'Automation Prepping'!$F$2:'Automation Prepping'!$F$315)</f>
        <v>Y</v>
      </c>
      <c r="F59" t="str" cm="1">
        <f t="array" ref="F59">_xlfn.XLOOKUP(A59,'Automation Prepping'!$A$2:'Automation Prepping'!$A$315, 'Automation Prepping'!$H$2:'Automation Prepping'!$H$315)</f>
        <v>Y</v>
      </c>
      <c r="L59" t="str" cm="1">
        <f t="array" ref="L59">_xlfn.XLOOKUP(A59,'Automation Prepping'!$A$2:'Automation Prepping'!$A$315, 'Automation Prepping'!$I$2:'Automation Prepping'!$I$315)</f>
        <v>https://advance-lexis-com.ezproxy.library.tufts.edu/search/?pdmfid=1516831&amp;crid=75787082-7ab4-4cb0-b2c6-bd4ccdf9aa33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eti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60" spans="1:12" ht="16" x14ac:dyDescent="0.2">
      <c r="A60" s="49" t="s">
        <v>187</v>
      </c>
      <c r="B60" s="49" t="s">
        <v>186</v>
      </c>
      <c r="C60" s="63" t="str" cm="1">
        <f t="array" ref="C60">_xlfn.XLOOKUP(A60,'Automation Prepping'!$A$2:'Automation Prepping'!$A$315, 'Automation Prepping'!$D$2:'Automation Prepping'!$D$315)</f>
        <v>Y (1 July 2023)</v>
      </c>
      <c r="D60" t="str" cm="1">
        <f t="array" ref="D60">_xlfn.XLOOKUP(A60,'Automation Prepping'!$A$2:'Automation Prepping'!$A$315, 'Automation Prepping'!$F$2:'Automation Prepping'!$F$315)</f>
        <v>Y</v>
      </c>
      <c r="F60" t="str" cm="1">
        <f t="array" ref="F60">_xlfn.XLOOKUP(A60,'Automation Prepping'!$A$2:'Automation Prepping'!$A$315, 'Automation Prepping'!$H$2:'Automation Prepping'!$H$315)</f>
        <v>Y</v>
      </c>
      <c r="L60" t="str" cm="1">
        <f t="array" ref="L60">_xlfn.XLOOKUP(A60,'Automation Prepping'!$A$2:'Automation Prepping'!$A$315, 'Automation Prepping'!$I$2:'Automation Prepping'!$I$315)</f>
        <v>https://advance-lexis-com.ezproxy.library.tufts.edu/search/?pdmfid=1516831&amp;crid=a3d81650-179b-4c00-b568-92b32f18c324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tatumb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61" spans="1:12" ht="16" x14ac:dyDescent="0.2">
      <c r="A61" s="49" t="s">
        <v>189</v>
      </c>
      <c r="B61" s="49" t="s">
        <v>188</v>
      </c>
      <c r="C61" s="63" t="str" cm="1">
        <f t="array" ref="C61">_xlfn.XLOOKUP(A61,'Automation Prepping'!$A$2:'Automation Prepping'!$A$315, 'Automation Prepping'!$D$2:'Automation Prepping'!$D$315)</f>
        <v>N</v>
      </c>
      <c r="D61" t="str" cm="1">
        <f t="array" ref="D61">_xlfn.XLOOKUP(A61,'Automation Prepping'!$A$2:'Automation Prepping'!$A$315, 'Automation Prepping'!$F$2:'Automation Prepping'!$F$315)</f>
        <v>Need Add to 2024</v>
      </c>
      <c r="F61" cm="1">
        <f t="array" ref="F61">_xlfn.XLOOKUP(A61,'Automation Prepping'!$A$2:'Automation Prepping'!$A$315, 'Automation Prepping'!$H$2:'Automation Prepping'!$H$315)</f>
        <v>0</v>
      </c>
      <c r="I61" t="s">
        <v>1448</v>
      </c>
      <c r="L61" t="str" cm="1">
        <f t="array" ref="L61">_xlfn.XLOOKUP(A61,'Automation Prepping'!$A$2:'Automation Prepping'!$A$315, 'Automation Prepping'!$I$2:'Automation Prepping'!$I$315)</f>
        <v>https://advance-lexis-com.ezproxy.library.tufts.edu/search/?pdmfid=1516831&amp;crid=0ac2b69f-d5f6-416f-9c47-281b1f23a017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ull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3092d136-ec6e-43bd-89c2-d8aa8d65e64e</v>
      </c>
    </row>
    <row r="62" spans="1:12" ht="16" x14ac:dyDescent="0.2">
      <c r="A62" s="49" t="s">
        <v>191</v>
      </c>
      <c r="B62" s="49" t="s">
        <v>192</v>
      </c>
      <c r="C62" s="63" t="str" cm="1">
        <f t="array" ref="C62">_xlfn.XLOOKUP(A62,'Automation Prepping'!$A$2:'Automation Prepping'!$A$315, 'Automation Prepping'!$D$2:'Automation Prepping'!$D$315)</f>
        <v>N</v>
      </c>
      <c r="D62" t="str" cm="1">
        <f t="array" ref="D62">_xlfn.XLOOKUP(A62,'Automation Prepping'!$A$2:'Automation Prepping'!$A$315, 'Automation Prepping'!$F$2:'Automation Prepping'!$F$315)</f>
        <v>Y</v>
      </c>
      <c r="F62" cm="1">
        <f t="array" ref="F62">_xlfn.XLOOKUP(A62,'Automation Prepping'!$A$2:'Automation Prepping'!$A$315, 'Automation Prepping'!$H$2:'Automation Prepping'!$H$315)</f>
        <v>0</v>
      </c>
      <c r="I62" t="s">
        <v>1448</v>
      </c>
      <c r="L62" t="str" cm="1">
        <f t="array" ref="L62">_xlfn.XLOOKUP(A62,'Automation Prepping'!$A$2:'Automation Prepping'!$A$315, 'Automation Prepping'!$I$2:'Automation Prepping'!$I$315)</f>
        <v>https://advance-lexis-com.ezproxy.library.tufts.edu/search/?pdmfid=1516831&amp;crid=e1ce2255-8075-4896-a055-4ed8bf4d257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vally+OR+Dub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06%2F30%2F2008to07%2F01%2F2023%7Cdatebetween&amp;pdfromadvancedsearchpage=true&amp;ecomp=qxLg9kk&amp;earg=pdpsf&amp;prid=ca2ac95e-6e8c-4fe3-b6fd-ed3bd8f901fa</v>
      </c>
    </row>
    <row r="63" spans="1:12" ht="16" x14ac:dyDescent="0.2">
      <c r="A63" s="49" t="s">
        <v>194</v>
      </c>
      <c r="B63" s="49" t="s">
        <v>195</v>
      </c>
      <c r="C63" s="63" t="str" cm="1">
        <f t="array" ref="C63">_xlfn.XLOOKUP(A63,'Automation Prepping'!$A$2:'Automation Prepping'!$A$315, 'Automation Prepping'!$D$2:'Automation Prepping'!$D$315)</f>
        <v>N</v>
      </c>
      <c r="D63" t="str" cm="1">
        <f t="array" ref="D63">_xlfn.XLOOKUP(A63,'Automation Prepping'!$A$2:'Automation Prepping'!$A$315, 'Automation Prepping'!$F$2:'Automation Prepping'!$F$315)</f>
        <v>In Progress</v>
      </c>
      <c r="F63" cm="1">
        <f t="array" ref="F63">_xlfn.XLOOKUP(A63,'Automation Prepping'!$A$2:'Automation Prepping'!$A$315, 'Automation Prepping'!$H$2:'Automation Prepping'!$H$315)</f>
        <v>0</v>
      </c>
      <c r="L63" t="str" cm="1">
        <f t="array" ref="L63">_xlfn.XLOOKUP(A63,'Automation Prepping'!$A$2:'Automation Prepping'!$A$315, 'Automation Prepping'!$I$2:'Automation Prepping'!$I$315)</f>
        <v xml:space="preserve">*Too big, search not running </v>
      </c>
    </row>
    <row r="64" spans="1:12" ht="16" x14ac:dyDescent="0.2">
      <c r="A64" s="49" t="s">
        <v>197</v>
      </c>
      <c r="B64" s="49" t="s">
        <v>196</v>
      </c>
      <c r="C64" s="63" t="str" cm="1">
        <f t="array" ref="C64">_xlfn.XLOOKUP(A64,'Automation Prepping'!$A$2:'Automation Prepping'!$A$315, 'Automation Prepping'!$D$2:'Automation Prepping'!$D$315)</f>
        <v>Y (15 July 2022)</v>
      </c>
      <c r="D64" cm="1">
        <f t="array" ref="D64">_xlfn.XLOOKUP(A64,'Automation Prepping'!$A$2:'Automation Prepping'!$A$315, 'Automation Prepping'!$F$2:'Automation Prepping'!$F$315)</f>
        <v>0</v>
      </c>
      <c r="F64" cm="1">
        <f t="array" ref="F64">_xlfn.XLOOKUP(A64,'Automation Prepping'!$A$2:'Automation Prepping'!$A$315, 'Automation Prepping'!$H$2:'Automation Prepping'!$H$315)</f>
        <v>0</v>
      </c>
      <c r="L64" t="str" cm="1">
        <f t="array" ref="L64">_xlfn.XLOOKUP(A64,'Automation Prepping'!$A$2:'Automation Prepping'!$A$315, 'Automation Prepping'!$I$2:'Automation Prepping'!$I$315)</f>
        <v>https://advance-lexis-com.ezproxy.library.tufts.edu/search/?pdmfid=1516831&amp;crid=cc0a312a-3919-40b7-8666-1aa95733fc86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aou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65" spans="1:12" ht="16" x14ac:dyDescent="0.2">
      <c r="A65" s="49" t="s">
        <v>199</v>
      </c>
      <c r="B65" s="49" t="s">
        <v>198</v>
      </c>
      <c r="C65" s="63" t="str" cm="1">
        <f t="array" ref="C65">_xlfn.XLOOKUP(A65,'Automation Prepping'!$A$2:'Automation Prepping'!$A$315, 'Automation Prepping'!$D$2:'Automation Prepping'!$D$315)</f>
        <v>Y (15 July 2022)</v>
      </c>
      <c r="D65" cm="1">
        <f t="array" ref="D65">_xlfn.XLOOKUP(A65,'Automation Prepping'!$A$2:'Automation Prepping'!$A$315, 'Automation Prepping'!$F$2:'Automation Prepping'!$F$315)</f>
        <v>0</v>
      </c>
      <c r="F65" cm="1">
        <f t="array" ref="F65">_xlfn.XLOOKUP(A65,'Automation Prepping'!$A$2:'Automation Prepping'!$A$315, 'Automation Prepping'!$H$2:'Automation Prepping'!$H$315)</f>
        <v>0</v>
      </c>
      <c r="L65" t="str" cm="1">
        <f t="array" ref="L65">_xlfn.XLOOKUP(A65,'Automation Prepping'!$A$2:'Automation Prepping'!$A$315, 'Automation Prepping'!$I$2:'Automation Prepping'!$I$315)</f>
        <v>https://advance-lexis-com.ezproxy.library.tufts.edu/search/?pdmfid=1516831&amp;crid=392dda26-f4b9-43aa-88b2-d5533c0ad863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igu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66" spans="1:12" ht="16" x14ac:dyDescent="0.2">
      <c r="A66" s="49" t="s">
        <v>201</v>
      </c>
      <c r="B66" s="49" t="s">
        <v>202</v>
      </c>
      <c r="C66" s="63" t="str" cm="1">
        <f t="array" ref="C66">_xlfn.XLOOKUP(A66,'Automation Prepping'!$A$2:'Automation Prepping'!$A$315, 'Automation Prepping'!$D$2:'Automation Prepping'!$D$315)</f>
        <v>N</v>
      </c>
      <c r="D66" t="str" cm="1">
        <f t="array" ref="D66">_xlfn.XLOOKUP(A66,'Automation Prepping'!$A$2:'Automation Prepping'!$A$315, 'Automation Prepping'!$F$2:'Automation Prepping'!$F$315)</f>
        <v>Y</v>
      </c>
      <c r="F66" t="str" cm="1">
        <f t="array" ref="F66">_xlfn.XLOOKUP(A66,'Automation Prepping'!$A$2:'Automation Prepping'!$A$315, 'Automation Prepping'!$H$2:'Automation Prepping'!$H$315)</f>
        <v>Y</v>
      </c>
      <c r="I66" t="s">
        <v>1448</v>
      </c>
      <c r="L66" t="str" cm="1">
        <f t="array" ref="L66">_xlfn.XLOOKUP(A66,'Automation Prepping'!$A$2:'Automation Prepping'!$A$315, 'Automation Prepping'!$I$2:'Automation Prepping'!$I$315)</f>
        <v>https://advance-lexis-com.ezproxy.library.tufts.edu/search/?pdmfid=1516831&amp;crid=c262fbc4-e51e-466f-9cd7-dedf985a91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nieper+OR+Byarezina+OR+Pinsk+Marshes+OR+Ptsich+OR+Sozh+OR+Iput%27+OR+Desna+OR+Dniepr+OR+Horyn%27+OR+Inhulets+OR+Kremenchats%27ke+Vdskh+OR+Prypyats%27+OR+Ps%27ol+OR+Seym+OR+Sluch+OR+Snov+OR+Stokhid+OR+Styr+OR+Sula+OR+Uzh+OR+Vopskla+O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ac210845-5016-4c9c-9cea-7e40c1c3ad78</v>
      </c>
    </row>
    <row r="67" spans="1:12" ht="16" x14ac:dyDescent="0.2">
      <c r="A67" s="49" t="s">
        <v>204</v>
      </c>
      <c r="B67" s="49" t="s">
        <v>205</v>
      </c>
      <c r="C67" s="63" t="str" cm="1">
        <f t="array" ref="C67">_xlfn.XLOOKUP(A67,'Automation Prepping'!$A$2:'Automation Prepping'!$A$315, 'Automation Prepping'!$D$2:'Automation Prepping'!$D$315)</f>
        <v>Y (15 July 2022)</v>
      </c>
      <c r="D67" t="str" cm="1">
        <f t="array" ref="D67">_xlfn.XLOOKUP(A67,'Automation Prepping'!$A$2:'Automation Prepping'!$A$315, 'Automation Prepping'!$F$2:'Automation Prepping'!$F$315)</f>
        <v>Y</v>
      </c>
      <c r="F67" t="str" cm="1">
        <f t="array" ref="F67">_xlfn.XLOOKUP(A67,'Automation Prepping'!$A$2:'Automation Prepping'!$A$315, 'Automation Prepping'!$H$2:'Automation Prepping'!$H$315)</f>
        <v>Y</v>
      </c>
      <c r="L67" t="str" cm="1">
        <f t="array" ref="L67">_xlfn.XLOOKUP(A67,'Automation Prepping'!$A$2:'Automation Prepping'!$A$315, 'Automation Prepping'!$I$2:'Automation Prepping'!$I$315)</f>
        <v>https://advance-lexis-com.ezproxy.library.tufts.edu/search/?pdmfid=1516831&amp;crid=9a944edd-2945-4016-975e-8b25660682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niester+OR+Dniestr+OR+Sere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68" spans="1:12" ht="16" x14ac:dyDescent="0.2">
      <c r="A68" s="49" t="s">
        <v>207</v>
      </c>
      <c r="B68" s="49" t="s">
        <v>208</v>
      </c>
      <c r="C68" s="63" t="str" cm="1">
        <f t="array" ref="C68">_xlfn.XLOOKUP(A68,'Automation Prepping'!$A$2:'Automation Prepping'!$A$315, 'Automation Prepping'!$D$2:'Automation Prepping'!$D$315)</f>
        <v>N</v>
      </c>
      <c r="D68" t="str" cm="1">
        <f t="array" ref="D68">_xlfn.XLOOKUP(A68,'Automation Prepping'!$A$2:'Automation Prepping'!$A$315, 'Automation Prepping'!$F$2:'Automation Prepping'!$F$315)</f>
        <v>Y</v>
      </c>
      <c r="F68" t="str" cm="1">
        <f t="array" ref="F68">_xlfn.XLOOKUP(A68,'Automation Prepping'!$A$2:'Automation Prepping'!$A$315, 'Automation Prepping'!$H$2:'Automation Prepping'!$H$315)</f>
        <v>Y</v>
      </c>
      <c r="I68" t="s">
        <v>1448</v>
      </c>
      <c r="L68" t="str" cm="1">
        <f t="array" ref="L68">_xlfn.XLOOKUP(A68,'Automation Prepping'!$A$2:'Automation Prepping'!$A$315, 'Automation Prepping'!$I$2:'Automation Prepping'!$I$315)</f>
        <v>https://advance-lexis-com.ezproxy.library.tufts.edu/search/?pdmfid=1516831&amp;crid=910a8d5a-a503-4ad9-b40b-c6c3dabda935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Don)+OR+Kalaus+OR+Khoper+OR+Medreditsa+OR+Oskol+OR+Oz+Manych+Gudilo+OR+Sal+OR+Sir.+Donets+OR+Sosna+OR+Tsimlyanskoye+Vdkhr+OR+Vorona+OR+Voronez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v>
      </c>
    </row>
    <row r="69" spans="1:12" ht="16" x14ac:dyDescent="0.2">
      <c r="A69" s="49" t="s">
        <v>210</v>
      </c>
      <c r="B69" s="49" t="s">
        <v>209</v>
      </c>
      <c r="C69" s="63" t="str" cm="1">
        <f t="array" ref="C69">_xlfn.XLOOKUP(A69,'Automation Prepping'!$A$2:'Automation Prepping'!$A$315, 'Automation Prepping'!$D$2:'Automation Prepping'!$D$315)</f>
        <v>Y (15 July 2022)</v>
      </c>
      <c r="D69" t="str" cm="1">
        <f t="array" ref="D69">_xlfn.XLOOKUP(A69,'Automation Prepping'!$A$2:'Automation Prepping'!$A$315, 'Automation Prepping'!$F$2:'Automation Prepping'!$F$315)</f>
        <v>Y</v>
      </c>
      <c r="F69" t="str" cm="1">
        <f t="array" ref="F69">_xlfn.XLOOKUP(A69,'Automation Prepping'!$A$2:'Automation Prepping'!$A$315, 'Automation Prepping'!$H$2:'Automation Prepping'!$H$315)</f>
        <v>Y</v>
      </c>
      <c r="L69" t="str" cm="1">
        <f t="array" ref="L69">_xlfn.XLOOKUP(A69,'Automation Prepping'!$A$2:'Automation Prepping'!$A$315, 'Automation Prepping'!$I$2:'Automation Prepping'!$I$315)</f>
        <v>https://advance-lexis-com.ezproxy.library.tufts.edu/search/?pdmfid=1516831&amp;crid=049a1b6f-f85a-48a6-838d-75b31e3b0e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ragonj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70" spans="1:12" ht="16" x14ac:dyDescent="0.2">
      <c r="A70" s="49" t="s">
        <v>212</v>
      </c>
      <c r="B70" s="49" t="s">
        <v>213</v>
      </c>
      <c r="C70" s="63" t="str" cm="1">
        <f t="array" ref="C70">_xlfn.XLOOKUP(A70,'Automation Prepping'!$A$2:'Automation Prepping'!$A$315, 'Automation Prepping'!$D$2:'Automation Prepping'!$D$315)</f>
        <v>Y (15 July 2022)</v>
      </c>
      <c r="D70" t="str" cm="1">
        <f t="array" ref="D70">_xlfn.XLOOKUP(A70,'Automation Prepping'!$A$2:'Automation Prepping'!$A$315, 'Automation Prepping'!$F$2:'Automation Prepping'!$F$315)</f>
        <v>Y</v>
      </c>
      <c r="F70" t="str" cm="1">
        <f t="array" ref="F70">_xlfn.XLOOKUP(A70,'Automation Prepping'!$A$2:'Automation Prepping'!$A$315, 'Automation Prepping'!$H$2:'Automation Prepping'!$H$315)</f>
        <v>Y</v>
      </c>
      <c r="L70" t="str" cm="1">
        <f t="array" ref="L70">_xlfn.XLOOKUP(A70,'Automation Prepping'!$A$2:'Automation Prepping'!$A$315, 'Automation Prepping'!$I$2:'Automation Prepping'!$I$315)</f>
        <v>https://advance-lexis-com.ezproxy.library.tufts.edu/search/?pdmfid=1516831&amp;crid=20910843-ccef-468a-b76f-a51ef5bbdf69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ra+OR+Qued+Zemoul+OR+Qued+Dad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71" spans="1:12" ht="16" x14ac:dyDescent="0.2">
      <c r="A71" s="49" t="s">
        <v>215</v>
      </c>
      <c r="B71" s="49" t="s">
        <v>216</v>
      </c>
      <c r="C71" s="63" t="str" cm="1">
        <f t="array" ref="C71">_xlfn.XLOOKUP(A71,'Automation Prepping'!$A$2:'Automation Prepping'!$A$315, 'Automation Prepping'!$D$2:'Automation Prepping'!$D$315)</f>
        <v>N</v>
      </c>
      <c r="D71" t="str" cm="1">
        <f t="array" ref="D71">_xlfn.XLOOKUP(A71,'Automation Prepping'!$A$2:'Automation Prepping'!$A$315, 'Automation Prepping'!$F$2:'Automation Prepping'!$F$315)</f>
        <v>Y</v>
      </c>
      <c r="F71" cm="1">
        <f t="array" ref="F71">_xlfn.XLOOKUP(A71,'Automation Prepping'!$A$2:'Automation Prepping'!$A$315, 'Automation Prepping'!$H$2:'Automation Prepping'!$H$315)</f>
        <v>0</v>
      </c>
      <c r="I71" t="s">
        <v>1448</v>
      </c>
      <c r="L71" t="str" cm="1">
        <f t="array" ref="L71">_xlfn.XLOOKUP(A71,'Automation Prepping'!$A$2:'Automation Prepping'!$A$315, 'Automation Prepping'!$I$2:'Automation Prepping'!$I$315)</f>
        <v>https://advance-lexis-com.ezproxy.library.tufts.edu/search/?pdmfid=1516831&amp;crid=77b7af4a-a2ea-4da0-8ca3-5bf44041b49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emerice+OR+Drin+OR+Drinizi+OR+Fshat+OR+Gjemon+OR+Gjonc+OR+Kamenice+OR+Kasaj+OR+Lavdan+OR+Leminot+OR+Markez+OR+Ohridsko+Jezero+OR+Lake+Ohrid+OR+Prifte+OR+Sopale+OR+Teqese+OR+T%27plan+OR+Tropoje+OR+Verlen+OR+Zberga+OR+Beli+Drim+OR+Pecska+Bistri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d7000717-2661-4f9f-bce1-069052346960</v>
      </c>
    </row>
    <row r="72" spans="1:12" ht="16" x14ac:dyDescent="0.2">
      <c r="A72" s="49" t="s">
        <v>218</v>
      </c>
      <c r="B72" s="49" t="s">
        <v>217</v>
      </c>
      <c r="C72" s="63" t="str" cm="1">
        <f t="array" ref="C72">_xlfn.XLOOKUP(A72,'Automation Prepping'!$A$2:'Automation Prepping'!$A$315, 'Automation Prepping'!$D$2:'Automation Prepping'!$D$315)</f>
        <v>Y (15 July 2022)</v>
      </c>
      <c r="D72" t="str" cm="1">
        <f t="array" ref="D72">_xlfn.XLOOKUP(A72,'Automation Prepping'!$A$2:'Automation Prepping'!$A$315, 'Automation Prepping'!$F$2:'Automation Prepping'!$F$315)</f>
        <v>Y</v>
      </c>
      <c r="F72" t="str" cm="1">
        <f t="array" ref="F72">_xlfn.XLOOKUP(A72,'Automation Prepping'!$A$2:'Automation Prepping'!$A$315, 'Automation Prepping'!$H$2:'Automation Prepping'!$H$315)</f>
        <v>Y</v>
      </c>
      <c r="L72" t="str" cm="1">
        <f t="array" ref="L72">_xlfn.XLOOKUP(A72,'Automation Prepping'!$A$2:'Automation Prepping'!$A$315, 'Automation Prepping'!$I$2:'Automation Prepping'!$I$315)</f>
        <v>https://advance-lexis-com.ezproxy.library.tufts.edu/search/?pdmfid=1516831&amp;crid=ec6a221f-a0a6-4a59-bf93-cd04f72d7616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ash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73" spans="1:12" ht="16" x14ac:dyDescent="0.2">
      <c r="A73" s="49" t="s">
        <v>220</v>
      </c>
      <c r="B73" s="49" t="s">
        <v>221</v>
      </c>
      <c r="C73" s="63" t="str" cm="1">
        <f t="array" ref="C73">_xlfn.XLOOKUP(A73,'Automation Prepping'!$A$2:'Automation Prepping'!$A$315, 'Automation Prepping'!$D$2:'Automation Prepping'!$D$315)</f>
        <v>Y (1 July 2023)</v>
      </c>
      <c r="D73" t="str" cm="1">
        <f t="array" ref="D73">_xlfn.XLOOKUP(A73,'Automation Prepping'!$A$2:'Automation Prepping'!$A$315, 'Automation Prepping'!$F$2:'Automation Prepping'!$F$315)</f>
        <v>Y</v>
      </c>
      <c r="F73" t="str" cm="1">
        <f t="array" ref="F73">_xlfn.XLOOKUP(A73,'Automation Prepping'!$A$2:'Automation Prepping'!$A$315, 'Automation Prepping'!$H$2:'Automation Prepping'!$H$315)</f>
        <v>Y</v>
      </c>
      <c r="L73" t="str" cm="1">
        <f t="array" ref="L73">_xlfn.XLOOKUP(A73,'Automation Prepping'!$A$2:'Automation Prepping'!$A$315, 'Automation Prepping'!$I$2:'Automation Prepping'!$I$315)</f>
        <v>https://advance-lexis-com.ezproxy.library.tufts.edu/search/?pdmfid=1516831&amp;crid=e28ab2be-8da9-4a62-a481-580ecbdd6b4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Drysa+OR+Dzirina+Zakh+OR+Dzisna+OR+Voz+Drysvyaty+OR+Voz+Snudy+OR+Levuo+OR+Aiviekeste+OR+Berze+OR+Daugava+OR+Lecaba+OR+Lielupe+OR+Lubanas+Ezers+OR+Lucava+OR+Maita+OR+Memele+OR+Misa+OR+Musa+OR+Ogre+OR+Pededze+OR+Reznas+Ezers+OR+Rusonu+Ezers+OR+Sivera+Ezers+OR+Sve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74" spans="1:12" ht="16" x14ac:dyDescent="0.2">
      <c r="A74" s="49" t="s">
        <v>223</v>
      </c>
      <c r="B74" s="49" t="s">
        <v>224</v>
      </c>
      <c r="C74" s="63" t="str" cm="1">
        <f t="array" ref="C74">_xlfn.XLOOKUP(A74,'Automation Prepping'!$A$2:'Automation Prepping'!$A$315, 'Automation Prepping'!$D$2:'Automation Prepping'!$D$315)</f>
        <v>N</v>
      </c>
      <c r="D74" t="str" cm="1">
        <f t="array" ref="D74">_xlfn.XLOOKUP(A74,'Automation Prepping'!$A$2:'Automation Prepping'!$A$315, 'Automation Prepping'!$F$2:'Automation Prepping'!$F$315)</f>
        <v>Need Add to 2024</v>
      </c>
      <c r="F74" cm="1">
        <f t="array" ref="F74">_xlfn.XLOOKUP(A74,'Automation Prepping'!$A$2:'Automation Prepping'!$A$315, 'Automation Prepping'!$H$2:'Automation Prepping'!$H$315)</f>
        <v>0</v>
      </c>
      <c r="I74" t="s">
        <v>1450</v>
      </c>
      <c r="L74" t="str" cm="1">
        <f t="array" ref="L74">_xlfn.XLOOKUP(A74,'Automation Prepping'!$A$2:'Automation Prepping'!$A$315, 'Automation Prepping'!$I$2:'Automation Prepping'!$I$315)</f>
        <v>https://advance-lexis-com.ezproxy.library.tufts.edu/search/?pdmfid=1516831&amp;crid=bc0b27ea-6b4f-4af3-ba39-77c362e3f42e&amp;pdpsf=&amp;pdpost=&amp;pdstartin=urn%3Ahlct%3A16&amp;oc</v>
      </c>
    </row>
    <row r="75" spans="1:12" ht="16" x14ac:dyDescent="0.2">
      <c r="A75" s="49" t="s">
        <v>226</v>
      </c>
      <c r="B75" s="49" t="s">
        <v>227</v>
      </c>
      <c r="C75" s="63" t="str" cm="1">
        <f t="array" ref="C75">_xlfn.XLOOKUP(A75,'Automation Prepping'!$A$2:'Automation Prepping'!$A$315, 'Automation Prepping'!$D$2:'Automation Prepping'!$D$315)</f>
        <v>N</v>
      </c>
      <c r="D75" t="str" cm="1">
        <f t="array" ref="D75">_xlfn.XLOOKUP(A75,'Automation Prepping'!$A$2:'Automation Prepping'!$A$315, 'Automation Prepping'!$F$2:'Automation Prepping'!$F$315)</f>
        <v>Y</v>
      </c>
      <c r="F75" t="str" cm="1">
        <f t="array" ref="F75">_xlfn.XLOOKUP(A75,'Automation Prepping'!$A$2:'Automation Prepping'!$A$315, 'Automation Prepping'!$H$2:'Automation Prepping'!$H$315)</f>
        <v>Y</v>
      </c>
      <c r="I75" t="s">
        <v>1448</v>
      </c>
      <c r="L75" t="str" cm="1">
        <f t="array" ref="L75">_xlfn.XLOOKUP(A75,'Automation Prepping'!$A$2:'Automation Prepping'!$A$315, 'Automation Prepping'!$I$2:'Automation Prepping'!$I$315)</f>
        <v>https://advance-lexis-com.ezproxy.library.tufts.edu/search/?pdmfid=1516831&amp;crid=2efcc3c1-efff-445c-a28b-5d6da530eda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Aguas+Limpias)+OR+Al+canadre+OR+Ara+OR+Aragon+OR+Arba+OR+Arga+OR+Barranco+El+Grado+OR+Bergantes+OR+Cinca+OR+Ebro+OR+Embalse+de+Santolea+OR+Embalse+de+Sotonera+OR+Embalse+de+Canelles+OR+Embalse+de+Mediano+OR+Embalse+de+Santa+Anna+OR+Embalse+de+Talarn+OR+Embalse+de+Yesa+OR+Embalse+de+Mequinenza+OR+Esca+OR+Escarra+OR+Esera+OR+Espot+OR+Gallego+OR+Guadalope+OR+Huerva+OR+Irati+OR+Jalon+OR+Jiloca+OR+Lago+Arriel+OR+Martcn+OR+Noguera+Pallaresa+OR+Noguera+Ribagorzana+OR+Panta+de+Riva-roga+OR+Peguera+OR+Pineta+OR+Riguel+OR+Segre+OR+Somero+OR+Urdicet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oc</v>
      </c>
    </row>
    <row r="76" spans="1:12" ht="16" x14ac:dyDescent="0.2">
      <c r="A76" s="49" t="s">
        <v>229</v>
      </c>
      <c r="B76" s="49" t="s">
        <v>230</v>
      </c>
      <c r="C76" s="63" t="str" cm="1">
        <f t="array" ref="C76">_xlfn.XLOOKUP(A76,'Automation Prepping'!$A$2:'Automation Prepping'!$A$315, 'Automation Prepping'!$D$2:'Automation Prepping'!$D$315)</f>
        <v>N</v>
      </c>
      <c r="D76" t="str" cm="1">
        <f t="array" ref="D76">_xlfn.XLOOKUP(A76,'Automation Prepping'!$A$2:'Automation Prepping'!$A$315, 'Automation Prepping'!$F$2:'Automation Prepping'!$F$315)</f>
        <v>Y</v>
      </c>
      <c r="F76" cm="1">
        <f t="array" ref="F76">_xlfn.XLOOKUP(A76,'Automation Prepping'!$A$2:'Automation Prepping'!$A$315, 'Automation Prepping'!$H$2:'Automation Prepping'!$H$315)</f>
        <v>0</v>
      </c>
      <c r="L76" t="str" cm="1">
        <f t="array" ref="L76">_xlfn.XLOOKUP(A76,'Automation Prepping'!$A$2:'Automation Prepping'!$A$315, 'Automation Prepping'!$I$2:'Automation Prepping'!$I$315)</f>
        <v>https://advance-lexis-com.ezproxy.library.tufts.edu/search/?pdmfid=1516831&amp;crid=9eec26f9-71d1-4593-97d6-02fbf647ebc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lbe+OR+Bilina+OR+Moricuv+potok+OR+Mze+OR+Odrava+OR+Ohre+OR+Ploucnice+OR+Radbuza+OR+Tepla+OR+Aland+OR+Alster+OR+Biese+OR+Bleiloch+Talsperre+OR+Bode+OR+Do+sse+OR+Dumme+OR+Ehle+OR+Fiener+Bruch+OR+Fuhne+OR+Havel+OR+Ilm+OR+Jeetzel+OR+Kalte+Bode+OR+Milde+OR+Mulde+OR+Rappbode+OR+Saale+OR+Schaal+see+OR+Schilde+OR+Schwarze+Elster+OR+Selke+OR+Stepenitz+OR+Stor+OR+Sude+OR+Uchte+OR+Wipper+OR+Zillierbac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557a7b65-7153-418e-882c-c69412ac0387</v>
      </c>
    </row>
    <row r="77" spans="1:12" ht="16" x14ac:dyDescent="0.2">
      <c r="A77" s="49" t="s">
        <v>232</v>
      </c>
      <c r="B77" s="49" t="s">
        <v>231</v>
      </c>
      <c r="C77" s="63" t="str" cm="1">
        <f t="array" ref="C77">_xlfn.XLOOKUP(A77,'Automation Prepping'!$A$2:'Automation Prepping'!$A$315, 'Automation Prepping'!$D$2:'Automation Prepping'!$D$315)</f>
        <v>N</v>
      </c>
      <c r="D77" t="str" cm="1">
        <f t="array" ref="D77">_xlfn.XLOOKUP(A77,'Automation Prepping'!$A$2:'Automation Prepping'!$A$315, 'Automation Prepping'!$F$2:'Automation Prepping'!$F$315)</f>
        <v>Need Add to 2024</v>
      </c>
      <c r="F77" cm="1">
        <f t="array" ref="F77">_xlfn.XLOOKUP(A77,'Automation Prepping'!$A$2:'Automation Prepping'!$A$315, 'Automation Prepping'!$H$2:'Automation Prepping'!$H$315)</f>
        <v>0</v>
      </c>
      <c r="L77" t="str" cm="1">
        <f t="array" ref="L77">_xlfn.XLOOKUP(A77,'Automation Prepping'!$A$2:'Automation Prepping'!$A$315, 'Automation Prepping'!$I$2:'Automation Prepping'!$I$315)</f>
        <v xml:space="preserve">No Results: https://advance-lexis-com.ezproxy.library.tufts.edu/search/?pdmfid=1516831&amp;crid=eb3bc25c-74a0-4a56-9193-92c33dfc0cf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lanc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c9c2ecba-7beb-42a5-a60a-a5e918b6ccab </v>
      </c>
    </row>
    <row r="78" spans="1:12" ht="16" x14ac:dyDescent="0.2">
      <c r="A78" s="49" t="s">
        <v>234</v>
      </c>
      <c r="B78" s="49" t="s">
        <v>235</v>
      </c>
      <c r="C78" s="63" t="str" cm="1">
        <f t="array" ref="C78">_xlfn.XLOOKUP(A78,'Automation Prepping'!$A$2:'Automation Prepping'!$A$315, 'Automation Prepping'!$D$2:'Automation Prepping'!$D$315)</f>
        <v>Y (15 July 2022)</v>
      </c>
      <c r="D78" t="str" cm="1">
        <f t="array" ref="D78">_xlfn.XLOOKUP(A78,'Automation Prepping'!$A$2:'Automation Prepping'!$A$315, 'Automation Prepping'!$F$2:'Automation Prepping'!$F$315)</f>
        <v>Y</v>
      </c>
      <c r="F78" t="str" cm="1">
        <f t="array" ref="F78">_xlfn.XLOOKUP(A78,'Automation Prepping'!$A$2:'Automation Prepping'!$A$315, 'Automation Prepping'!$H$2:'Automation Prepping'!$H$315)</f>
        <v>Y</v>
      </c>
      <c r="L78" t="str" cm="1">
        <f t="array" ref="L78">_xlfn.XLOOKUP(A78,'Automation Prepping'!$A$2:'Automation Prepping'!$A$315, 'Automation Prepping'!$I$2:'Automation Prepping'!$I$315)</f>
        <v>https://advance-lexis-com.ezproxy.library.tufts.edu/search/?pdmfid=1516831&amp;crid=3c792f09-00d6-4086-89fb-2bbbb4d292c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rne+OR+Lower+Lough+Erne+OR+Upper+Lough+Er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79" spans="1:12" ht="16" x14ac:dyDescent="0.2">
      <c r="A79" s="49" t="s">
        <v>237</v>
      </c>
      <c r="B79" s="49" t="s">
        <v>238</v>
      </c>
      <c r="C79" s="63" t="str" cm="1">
        <f t="array" ref="C79">_xlfn.XLOOKUP(A79,'Automation Prepping'!$A$2:'Automation Prepping'!$A$315, 'Automation Prepping'!$D$2:'Automation Prepping'!$D$315)</f>
        <v>Y (15 July 2022)</v>
      </c>
      <c r="D79" t="str" cm="1">
        <f t="array" ref="D79">_xlfn.XLOOKUP(A79,'Automation Prepping'!$A$2:'Automation Prepping'!$A$315, 'Automation Prepping'!$F$2:'Automation Prepping'!$F$315)</f>
        <v>Y</v>
      </c>
      <c r="F79" t="str" cm="1">
        <f t="array" ref="F79">_xlfn.XLOOKUP(A79,'Automation Prepping'!$A$2:'Automation Prepping'!$A$315, 'Automation Prepping'!$H$2:'Automation Prepping'!$H$315)</f>
        <v>Y</v>
      </c>
      <c r="L79" t="str" cm="1">
        <f t="array" ref="L79">_xlfn.XLOOKUP(A79,'Automation Prepping'!$A$2:'Automation Prepping'!$A$315, 'Automation Prepping'!$I$2:'Automation Prepping'!$I$315)</f>
        <v>https://advance-lexis-com.ezproxy.library.tufts.edu/search/?pdmfid=1516831&amp;crid=be303dda-00a4-428d-8ad2-812ee1be0d26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ssequibo+OR+Burro-Burro+OR+Illiwa+OR+Kwitaro+OR+Mazarani+OR+Mazaruni+OR+Rupununi+OR+Siaruni+OR+Takutu+OR+Tacuta+OR+Cuyu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80" spans="1:12" ht="16" x14ac:dyDescent="0.2">
      <c r="A80" s="49" t="s">
        <v>240</v>
      </c>
      <c r="B80" s="49" t="s">
        <v>241</v>
      </c>
      <c r="C80" s="63" t="str" cm="1">
        <f t="array" ref="C80">_xlfn.XLOOKUP(A80,'Automation Prepping'!$A$2:'Automation Prepping'!$A$315, 'Automation Prepping'!$D$2:'Automation Prepping'!$D$315)</f>
        <v>Y (15 July 2022)</v>
      </c>
      <c r="D80" t="str" cm="1">
        <f t="array" ref="D80">_xlfn.XLOOKUP(A80,'Automation Prepping'!$A$2:'Automation Prepping'!$A$315, 'Automation Prepping'!$F$2:'Automation Prepping'!$F$315)</f>
        <v>Y</v>
      </c>
      <c r="F80" t="str" cm="1">
        <f t="array" ref="F80">_xlfn.XLOOKUP(A80,'Automation Prepping'!$A$2:'Automation Prepping'!$A$315, 'Automation Prepping'!$H$2:'Automation Prepping'!$H$315)</f>
        <v>Y</v>
      </c>
      <c r="L80" t="str" cm="1">
        <f t="array" ref="L80">_xlfn.XLOOKUP(A80,'Automation Prepping'!$A$2:'Automation Prepping'!$A$315, 'Automation Prepping'!$I$2:'Automation Prepping'!$I$315)</f>
        <v>https://advance-lexis-com.ezproxy.library.tufts.edu/search/?pdmfid=1516831&amp;crid=b2fc88af-0427-4c15-ae54-182c84350589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uvelai+OR+Etosh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81" spans="1:12" ht="16" x14ac:dyDescent="0.2">
      <c r="A81" s="49" t="s">
        <v>243</v>
      </c>
      <c r="B81" s="49" t="s">
        <v>242</v>
      </c>
      <c r="C81" s="63" t="str" cm="1">
        <f t="array" ref="C81">_xlfn.XLOOKUP(A81,'Automation Prepping'!$A$2:'Automation Prepping'!$A$315, 'Automation Prepping'!$D$2:'Automation Prepping'!$D$315)</f>
        <v>Y (15 July 2022)</v>
      </c>
      <c r="D81" t="str" cm="1">
        <f t="array" ref="D81">_xlfn.XLOOKUP(A81,'Automation Prepping'!$A$2:'Automation Prepping'!$A$315, 'Automation Prepping'!$F$2:'Automation Prepping'!$F$315)</f>
        <v>Y</v>
      </c>
      <c r="F81" t="str" cm="1">
        <f t="array" ref="F81">_xlfn.XLOOKUP(A81,'Automation Prepping'!$A$2:'Automation Prepping'!$A$315, 'Automation Prepping'!$H$2:'Automation Prepping'!$H$315)</f>
        <v>Y</v>
      </c>
      <c r="L81" t="str" cm="1">
        <f t="array" ref="L81">_xlfn.XLOOKUP(A81,'Automation Prepping'!$A$2:'Automation Prepping'!$A$315, 'Automation Prepping'!$I$2:'Automation Prepping'!$I$315)</f>
        <v>https://advance-lexis-com.ezproxy.library.tufts.edu/search/?pdmfid=1516831&amp;crid=3cfd586e-cd6f-4055-b7ca-002387f89e95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a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82" spans="1:12" ht="16" x14ac:dyDescent="0.2">
      <c r="A82" s="49" t="s">
        <v>245</v>
      </c>
      <c r="B82" s="49" t="s">
        <v>246</v>
      </c>
      <c r="C82" s="63" t="str" cm="1">
        <f t="array" ref="C82">_xlfn.XLOOKUP(A82,'Automation Prepping'!$A$2:'Automation Prepping'!$A$315, 'Automation Prepping'!$D$2:'Automation Prepping'!$D$315)</f>
        <v>Y (1 July 2023)</v>
      </c>
      <c r="D82" t="str" cm="1">
        <f t="array" ref="D82">_xlfn.XLOOKUP(A82,'Automation Prepping'!$A$2:'Automation Prepping'!$A$315, 'Automation Prepping'!$F$2:'Automation Prepping'!$F$315)</f>
        <v>Y</v>
      </c>
      <c r="F82" t="str" cm="1">
        <f t="array" ref="F82">_xlfn.XLOOKUP(A82,'Automation Prepping'!$A$2:'Automation Prepping'!$A$315, 'Automation Prepping'!$H$2:'Automation Prepping'!$H$315)</f>
        <v>Y</v>
      </c>
      <c r="L82" t="str" cm="1">
        <f t="array" ref="L82">_xlfn.XLOOKUP(A82,'Automation Prepping'!$A$2:'Automation Prepping'!$A$315, 'Automation Prepping'!$I$2:'Automation Prepping'!$I$315)</f>
        <v>https://advance-lexis-com.ezproxy.library.tufts.edu/search/?pdmfid=1516831&amp;crid=0320dd96-8cba-420b-96f5-b3d6f35c61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Flurr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83" spans="1:12" ht="16" x14ac:dyDescent="0.2">
      <c r="A83" s="49" t="s">
        <v>248</v>
      </c>
      <c r="B83" s="49" t="s">
        <v>249</v>
      </c>
      <c r="C83" s="63" t="str" cm="1">
        <f t="array" ref="C83">_xlfn.XLOOKUP(A83,'Automation Prepping'!$A$2:'Automation Prepping'!$A$315, 'Automation Prepping'!$D$2:'Automation Prepping'!$D$315)</f>
        <v>Y (1 July 2023)</v>
      </c>
      <c r="D83" t="str" cm="1">
        <f t="array" ref="D83">_xlfn.XLOOKUP(A83,'Automation Prepping'!$A$2:'Automation Prepping'!$A$315, 'Automation Prepping'!$F$2:'Automation Prepping'!$F$315)</f>
        <v>Y</v>
      </c>
      <c r="F83" t="str" cm="1">
        <f t="array" ref="F83">_xlfn.XLOOKUP(A83,'Automation Prepping'!$A$2:'Automation Prepping'!$A$315, 'Automation Prepping'!$H$2:'Automation Prepping'!$H$315)</f>
        <v>Y</v>
      </c>
      <c r="L83" t="str" cm="1">
        <f t="array" ref="L83">_xlfn.XLOOKUP(A83,'Automation Prepping'!$A$2:'Automation Prepping'!$A$315, 'Automation Prepping'!$I$2:'Automation Prepping'!$I$315)</f>
        <v>https://advance-lexis-com.ezproxy.library.tufts.edu/search/?pdmfid=1516831&amp;crid=11a1bce5-4737-4648-943e-932e04c76dc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Fl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84" spans="1:12" ht="16" x14ac:dyDescent="0.2">
      <c r="A84" s="49" t="s">
        <v>251</v>
      </c>
      <c r="B84" s="49" t="s">
        <v>250</v>
      </c>
      <c r="C84" s="63" t="str" cm="1">
        <f t="array" ref="C84">_xlfn.XLOOKUP(A84,'Automation Prepping'!$A$2:'Automation Prepping'!$A$315, 'Automation Prepping'!$D$2:'Automation Prepping'!$D$315)</f>
        <v>Y (15 July 2022)</v>
      </c>
      <c r="D84" t="str" cm="1">
        <f t="array" ref="D84">_xlfn.XLOOKUP(A84,'Automation Prepping'!$A$2:'Automation Prepping'!$A$315, 'Automation Prepping'!$F$2:'Automation Prepping'!$F$315)</f>
        <v>Y</v>
      </c>
      <c r="F84" t="str" cm="1">
        <f t="array" ref="F84">_xlfn.XLOOKUP(A84,'Automation Prepping'!$A$2:'Automation Prepping'!$A$315, 'Automation Prepping'!$H$2:'Automation Prepping'!$H$315)</f>
        <v>Y</v>
      </c>
      <c r="L84" t="str" cm="1">
        <f t="array" ref="L84">_xlfn.XLOOKUP(A84,'Automation Prepping'!$A$2:'Automation Prepping'!$A$315, 'Automation Prepping'!$I$2:'Automation Prepping'!$I$315)</f>
        <v>https://advance-lexis-com.ezproxy.library.tufts.edu/search/?pdmfid=1516831&amp;crid=57da4d69-616b-47e6-a103-1f9995183849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enne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85" spans="1:12" ht="16" x14ac:dyDescent="0.2">
      <c r="A85" s="49" t="s">
        <v>253</v>
      </c>
      <c r="B85" s="49" t="s">
        <v>252</v>
      </c>
      <c r="C85" s="63" t="str" cm="1">
        <f t="array" ref="C85">_xlfn.XLOOKUP(A85,'Automation Prepping'!$A$2:'Automation Prepping'!$A$315, 'Automation Prepping'!$D$2:'Automation Prepping'!$D$315)</f>
        <v>Y (1 July 2023)</v>
      </c>
      <c r="D85" t="str" cm="1">
        <f t="array" ref="D85">_xlfn.XLOOKUP(A85,'Automation Prepping'!$A$2:'Automation Prepping'!$A$315, 'Automation Prepping'!$F$2:'Automation Prepping'!$F$315)</f>
        <v>Y</v>
      </c>
      <c r="F85" t="str" cm="1">
        <f t="array" ref="F85">_xlfn.XLOOKUP(A85,'Automation Prepping'!$A$2:'Automation Prepping'!$A$315, 'Automation Prepping'!$H$2:'Automation Prepping'!$H$315)</f>
        <v>Y</v>
      </c>
      <c r="L85" t="str" cm="1">
        <f t="array" ref="L85">_xlfn.XLOOKUP(A85,'Automation Prepping'!$A$2:'Automation Prepping'!$A$315, 'Automation Prepping'!$I$2:'Automation Prepping'!$I$315)</f>
        <v>https://advance-lexis-com.ezproxy.library.tufts.edu/search/?pdmfid=1516831&amp;crid=1a78a04c-87d9-49c4-ba38-a67583a66951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oyl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86" spans="1:12" ht="16" x14ac:dyDescent="0.2">
      <c r="A86" s="49" t="s">
        <v>255</v>
      </c>
      <c r="B86" s="49" t="s">
        <v>256</v>
      </c>
      <c r="C86" s="63" t="str" cm="1">
        <f t="array" ref="C86">_xlfn.XLOOKUP(A86,'Automation Prepping'!$A$2:'Automation Prepping'!$A$315, 'Automation Prepping'!$D$2:'Automation Prepping'!$D$315)</f>
        <v>N</v>
      </c>
      <c r="D86" t="str" cm="1">
        <f t="array" ref="D86">_xlfn.XLOOKUP(A86,'Automation Prepping'!$A$2:'Automation Prepping'!$A$315, 'Automation Prepping'!$F$2:'Automation Prepping'!$F$315)</f>
        <v>Need Add to 2024</v>
      </c>
      <c r="F86" cm="1">
        <f t="array" ref="F86">_xlfn.XLOOKUP(A86,'Automation Prepping'!$A$2:'Automation Prepping'!$A$315, 'Automation Prepping'!$H$2:'Automation Prepping'!$H$315)</f>
        <v>0</v>
      </c>
      <c r="I86" t="s">
        <v>1450</v>
      </c>
      <c r="L86" t="str" cm="1">
        <f t="array" ref="L86">_xlfn.XLOOKUP(A86,'Automation Prepping'!$A$2:'Automation Prepping'!$A$315, 'Automation Prepping'!$I$2:'Automation Prepping'!$I$315)</f>
        <v>https://advance-lexis-com.ezproxy.library.tufts.edu/search/?pdmfid=1516831&amp;crid=32fbbde7-68a5-41fe-9351-8915f54ee649&amp;pdpsf=&amp;pdpost=&amp;pdstartin=urn%3Ahlct%3A16&amp;oc</v>
      </c>
    </row>
    <row r="87" spans="1:12" ht="16" x14ac:dyDescent="0.2">
      <c r="A87" s="49" t="s">
        <v>259</v>
      </c>
      <c r="B87" s="49" t="s">
        <v>260</v>
      </c>
      <c r="C87" s="63" t="str" cm="1">
        <f t="array" ref="C87">_xlfn.XLOOKUP(A87,'Automation Prepping'!$A$2:'Automation Prepping'!$A$315, 'Automation Prepping'!$D$2:'Automation Prepping'!$D$315)</f>
        <v>N</v>
      </c>
      <c r="D87" t="str" cm="1">
        <f t="array" ref="D87">_xlfn.XLOOKUP(A87,'Automation Prepping'!$A$2:'Automation Prepping'!$A$315, 'Automation Prepping'!$F$2:'Automation Prepping'!$F$315)</f>
        <v>Y</v>
      </c>
      <c r="F87" t="str" cm="1">
        <f t="array" ref="F87">_xlfn.XLOOKUP(A87,'Automation Prepping'!$A$2:'Automation Prepping'!$A$315, 'Automation Prepping'!$H$2:'Automation Prepping'!$H$315)</f>
        <v>Y</v>
      </c>
      <c r="I87" t="s">
        <v>1448</v>
      </c>
      <c r="L87" t="str" cm="1">
        <f t="array" ref="L87">_xlfn.XLOOKUP(A87,'Automation Prepping'!$A$2:'Automation Prepping'!$A$315, 'Automation Prepping'!$I$2:'Automation Prepping'!$I$315)</f>
        <v>https://advance-lexis-com.ezproxy.library.tufts.edu/search/?pdmfid=1516831&amp;crid=424f41b8-eea6-4c7d-a141-d184de22df12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Firth+OR+Joe+OR+Manch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22151f5d-1e04-42a1-8a68-d7956acc0dfd</v>
      </c>
    </row>
    <row r="88" spans="1:12" ht="16" x14ac:dyDescent="0.2">
      <c r="A88" s="49" t="s">
        <v>262</v>
      </c>
      <c r="B88" s="49" t="s">
        <v>263</v>
      </c>
      <c r="C88" s="63" t="str" cm="1">
        <f t="array" ref="C88">_xlfn.XLOOKUP(A88,'Automation Prepping'!$A$2:'Automation Prepping'!$A$315, 'Automation Prepping'!$D$2:'Automation Prepping'!$D$315)</f>
        <v>N</v>
      </c>
      <c r="D88" t="str" cm="1">
        <f t="array" ref="D88">_xlfn.XLOOKUP(A88,'Automation Prepping'!$A$2:'Automation Prepping'!$A$315, 'Automation Prepping'!$F$2:'Automation Prepping'!$F$315)</f>
        <v>Y</v>
      </c>
      <c r="F88" cm="1">
        <f t="array" ref="F88">_xlfn.XLOOKUP(A88,'Automation Prepping'!$A$2:'Automation Prepping'!$A$315, 'Automation Prepping'!$H$2:'Automation Prepping'!$H$315)</f>
        <v>0</v>
      </c>
      <c r="L88" t="str" cm="1">
        <f t="array" ref="L88">_xlfn.XLOOKUP(A88,'Automation Prepping'!$A$2:'Automation Prepping'!$A$315, 'Automation Prepping'!$I$2:'Automation Prepping'!$I$315)</f>
        <v>https://advance-lexis-com.ezproxy.library.tufts.edu/search/?pdmfid=1516831&amp;crid=356e8c8c-671d-468a-8f91-e24c3269bf3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llegos+OR+CAPS(Chic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29%2F2008to06%2F30%2F2023%7Cdatebetween&amp;pdfromadvancedsearchpage=true&amp;ecomp=qxLg9kk&amp;earg=pdpsf&amp;prid=361ae249-1b51-4f8d-974c-4ffbfafa8386</v>
      </c>
    </row>
    <row r="89" spans="1:12" ht="16" x14ac:dyDescent="0.2">
      <c r="A89" s="49" t="s">
        <v>265</v>
      </c>
      <c r="B89" s="49" t="s">
        <v>266</v>
      </c>
      <c r="C89" s="63" t="str" cm="1">
        <f t="array" ref="C89">_xlfn.XLOOKUP(A89,'Automation Prepping'!$A$2:'Automation Prepping'!$A$315, 'Automation Prepping'!$D$2:'Automation Prepping'!$D$315)</f>
        <v>N</v>
      </c>
      <c r="D89" t="str" cm="1">
        <f t="array" ref="D89">_xlfn.XLOOKUP(A89,'Automation Prepping'!$A$2:'Automation Prepping'!$A$315, 'Automation Prepping'!$F$2:'Automation Prepping'!$F$315)</f>
        <v>Y</v>
      </c>
      <c r="F89" cm="1">
        <f t="array" ref="F89">_xlfn.XLOOKUP(A89,'Automation Prepping'!$A$2:'Automation Prepping'!$A$315, 'Automation Prepping'!$H$2:'Automation Prepping'!$H$315)</f>
        <v>0</v>
      </c>
      <c r="I89" t="s">
        <v>1448</v>
      </c>
      <c r="L89" t="str" cm="1">
        <f t="array" ref="L89">_xlfn.XLOOKUP(A89,'Automation Prepping'!$A$2:'Automation Prepping'!$A$315, 'Automation Prepping'!$I$2:'Automation Prepping'!$I$315)</f>
        <v>https://advance-lexis-com.ezproxy.library.tufts.edu/search/?pdmfid=1516831&amp;crid=e4808135-3e86-4a77-b983-b461fac6b31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mbia+OR+Sandoug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aff113b6-2cc6-49f7-bcf9-d55d8442ceae</v>
      </c>
    </row>
    <row r="90" spans="1:12" ht="48" x14ac:dyDescent="0.2">
      <c r="A90" s="49" t="s">
        <v>268</v>
      </c>
      <c r="B90" s="49" t="s">
        <v>269</v>
      </c>
      <c r="C90" s="63" t="str" cm="1">
        <f t="array" ref="C90">_xlfn.XLOOKUP(A90,'Automation Prepping'!$A$2:'Automation Prepping'!$A$315, 'Automation Prepping'!$D$2:'Automation Prepping'!$D$315)</f>
        <v>N</v>
      </c>
      <c r="D90" t="str" cm="1">
        <f t="array" ref="D90">_xlfn.XLOOKUP(A90,'Automation Prepping'!$A$2:'Automation Prepping'!$A$315, 'Automation Prepping'!$F$2:'Automation Prepping'!$F$315)</f>
        <v>Need Add to 2024</v>
      </c>
      <c r="F90" cm="1">
        <f t="array" ref="F90">_xlfn.XLOOKUP(A90,'Automation Prepping'!$A$2:'Automation Prepping'!$A$315, 'Automation Prepping'!$H$2:'Automation Prepping'!$H$315)</f>
        <v>0</v>
      </c>
      <c r="I90" t="s">
        <v>1450</v>
      </c>
      <c r="L90" t="str" cm="1">
        <f t="array" ref="L90">_xlfn.XLOOKUP(A90,'Automation Prepping'!$A$2:'Automation Prepping'!$A$315, 'Automation Prepping'!$I$2:'Automation Prepping'!$I$315)</f>
        <v>https://advance-lexis-com.ezproxy.library.tufts.edu/search/?pdmfid=1516831&amp;crid=e89ed53a-fe10-4903-9135-1e93873f2961&amp;pdpsf=&amp;pdpost=&amp;pdstartin=urn%3Ahlct%3A16&amp;oc</v>
      </c>
    </row>
    <row r="91" spans="1:12" ht="16" x14ac:dyDescent="0.2">
      <c r="A91" s="49" t="s">
        <v>271</v>
      </c>
      <c r="B91" s="49" t="s">
        <v>270</v>
      </c>
      <c r="C91" s="63" t="str" cm="1">
        <f t="array" ref="C91">_xlfn.XLOOKUP(A91,'Automation Prepping'!$A$2:'Automation Prepping'!$A$315, 'Automation Prepping'!$D$2:'Automation Prepping'!$D$315)</f>
        <v>N</v>
      </c>
      <c r="D91" t="str" cm="1">
        <f t="array" ref="D91">_xlfn.XLOOKUP(A91,'Automation Prepping'!$A$2:'Automation Prepping'!$A$315, 'Automation Prepping'!$F$2:'Automation Prepping'!$F$315)</f>
        <v>Y</v>
      </c>
      <c r="F91" t="str" cm="1">
        <f t="array" ref="F91">_xlfn.XLOOKUP(A91,'Automation Prepping'!$A$2:'Automation Prepping'!$A$315, 'Automation Prepping'!$H$2:'Automation Prepping'!$H$315)</f>
        <v>Y</v>
      </c>
      <c r="I91" t="s">
        <v>1448</v>
      </c>
      <c r="L91" t="str" cm="1">
        <f t="array" ref="L91">_xlfn.XLOOKUP(A91,'Automation Prepping'!$A$2:'Automation Prepping'!$A$315, 'Automation Prepping'!$I$2:'Automation Prepping'!$I$315)</f>
        <v>https://advance-lexis-com.ezproxy.library.tufts.edu/search/?pdmfid=1516831&amp;crid=f3a133da-90ab-4c4d-991c-bdd5938a5be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s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48c41af8-1dae-41be-b3c2-70390c3997b8</v>
      </c>
    </row>
    <row r="92" spans="1:12" ht="16" x14ac:dyDescent="0.2">
      <c r="A92" s="49" t="s">
        <v>273</v>
      </c>
      <c r="B92" s="49" t="s">
        <v>274</v>
      </c>
      <c r="C92" s="63" t="str" cm="1">
        <f t="array" ref="C92">_xlfn.XLOOKUP(A92,'Automation Prepping'!$A$2:'Automation Prepping'!$A$315, 'Automation Prepping'!$D$2:'Automation Prepping'!$D$315)</f>
        <v>Y (15 July 2022)</v>
      </c>
      <c r="D92" t="str" cm="1">
        <f t="array" ref="D92">_xlfn.XLOOKUP(A92,'Automation Prepping'!$A$2:'Automation Prepping'!$A$315, 'Automation Prepping'!$F$2:'Automation Prepping'!$F$315)</f>
        <v>Y</v>
      </c>
      <c r="F92" t="str" cm="1">
        <f t="array" ref="F92">_xlfn.XLOOKUP(A92,'Automation Prepping'!$A$2:'Automation Prepping'!$A$315, 'Automation Prepping'!$H$2:'Automation Prepping'!$H$315)</f>
        <v>Y</v>
      </c>
      <c r="L92" t="str" cm="1">
        <f t="array" ref="L92">_xlfn.XLOOKUP(A92,'Automation Prepping'!$A$2:'Automation Prepping'!$A$315, 'Automation Prepping'!$I$2:'Automation Prepping'!$I$315)</f>
        <v>https://advance-lexis-com.ezproxy.library.tufts.edu/search/?pdmfid=1516831&amp;crid=61964243-5f3a-42ea-b8b6-cce4e699f8a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eba+OR+Corubal+OR+Kayang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93" spans="1:12" ht="16" x14ac:dyDescent="0.2">
      <c r="A93" s="49" t="s">
        <v>276</v>
      </c>
      <c r="B93" s="49" t="s">
        <v>277</v>
      </c>
      <c r="C93" s="63" t="str" cm="1">
        <f t="array" ref="C93">_xlfn.XLOOKUP(A93,'Automation Prepping'!$A$2:'Automation Prepping'!$A$315, 'Automation Prepping'!$D$2:'Automation Prepping'!$D$315)</f>
        <v>N</v>
      </c>
      <c r="D93" t="str" cm="1">
        <f t="array" ref="D93">_xlfn.XLOOKUP(A93,'Automation Prepping'!$A$2:'Automation Prepping'!$A$315, 'Automation Prepping'!$F$2:'Automation Prepping'!$F$315)</f>
        <v>Y</v>
      </c>
      <c r="F93" cm="1">
        <f t="array" ref="F93">_xlfn.XLOOKUP(A93,'Automation Prepping'!$A$2:'Automation Prepping'!$A$315, 'Automation Prepping'!$H$2:'Automation Prepping'!$H$315)</f>
        <v>0</v>
      </c>
      <c r="L93" t="str" cm="1">
        <f t="array" ref="L93">_xlfn.XLOOKUP(A93,'Automation Prepping'!$A$2:'Automation Prepping'!$A$315, 'Automation Prepping'!$I$2:'Automation Prepping'!$I$315)</f>
        <v>https://advance-lexis-com.ezproxy.library.tufts.edu/search/?pdmfid=1516831&amp;crid=3700c62c-6be9-45f1-9c06-333bfe0bb400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rijalva+OR+Grijalva+OR+CAPS(Azu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d5b0e834-c850-4903-b587-5d382a230411</v>
      </c>
    </row>
    <row r="94" spans="1:12" ht="16" x14ac:dyDescent="0.2">
      <c r="A94" s="49" t="s">
        <v>279</v>
      </c>
      <c r="B94" s="49" t="s">
        <v>278</v>
      </c>
      <c r="C94" s="63" t="str" cm="1">
        <f t="array" ref="C94">_xlfn.XLOOKUP(A94,'Automation Prepping'!$A$2:'Automation Prepping'!$A$315, 'Automation Prepping'!$D$2:'Automation Prepping'!$D$315)</f>
        <v>Y (15 July 2022)</v>
      </c>
      <c r="D94" t="str" cm="1">
        <f t="array" ref="D94">_xlfn.XLOOKUP(A94,'Automation Prepping'!$A$2:'Automation Prepping'!$A$315, 'Automation Prepping'!$F$2:'Automation Prepping'!$F$315)</f>
        <v>Y</v>
      </c>
      <c r="F94" t="str" cm="1">
        <f t="array" ref="F94">_xlfn.XLOOKUP(A94,'Automation Prepping'!$A$2:'Automation Prepping'!$A$315, 'Automation Prepping'!$H$2:'Automation Prepping'!$H$315)</f>
        <v>Y</v>
      </c>
      <c r="L94" t="str" cm="1">
        <f t="array" ref="L94">_xlfn.XLOOKUP(A94,'Automation Prepping'!$A$2:'Automation Prepping'!$A$315, 'Automation Prepping'!$I$2:'Automation Prepping'!$I$315)</f>
        <v>https://advance-lexis-com.ezproxy.library.tufts.edu/search/?pdmfid=1516831&amp;crid=987fd3f0-6fa9-4ce5-be1a-a9dee0e108a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la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95" spans="1:12" ht="16" x14ac:dyDescent="0.2">
      <c r="A95" s="49" t="s">
        <v>281</v>
      </c>
      <c r="B95" s="49" t="s">
        <v>280</v>
      </c>
      <c r="C95" s="63" t="str" cm="1">
        <f t="array" ref="C95">_xlfn.XLOOKUP(A95,'Automation Prepping'!$A$2:'Automation Prepping'!$A$315, 'Automation Prepping'!$D$2:'Automation Prepping'!$D$315)</f>
        <v>Y (15 July 2022)</v>
      </c>
      <c r="D95" t="str" cm="1">
        <f t="array" ref="D95">_xlfn.XLOOKUP(A95,'Automation Prepping'!$A$2:'Automation Prepping'!$A$315, 'Automation Prepping'!$F$2:'Automation Prepping'!$F$315)</f>
        <v>Y</v>
      </c>
      <c r="F95" t="str" cm="1">
        <f t="array" ref="F95">_xlfn.XLOOKUP(A95,'Automation Prepping'!$A$2:'Automation Prepping'!$A$315, 'Automation Prepping'!$H$2:'Automation Prepping'!$H$315)</f>
        <v>Y</v>
      </c>
      <c r="L95" t="str" cm="1">
        <f t="array" ref="L95">_xlfn.XLOOKUP(A95,'Automation Prepping'!$A$2:'Automation Prepping'!$A$315, 'Automation Prepping'!$I$2:'Automation Prepping'!$I$315)</f>
        <v>https://advance-lexis-com.ezproxy.library.tufts.edu/search/?pdmfid=1516831&amp;crid=931e6758-7784-4f99-b649-698574383833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la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96" spans="1:12" ht="16" x14ac:dyDescent="0.2">
      <c r="A96" s="49" t="s">
        <v>283</v>
      </c>
      <c r="B96" s="49" t="s">
        <v>282</v>
      </c>
      <c r="C96" s="63" t="str" cm="1">
        <f t="array" ref="C96">_xlfn.XLOOKUP(A96,'Automation Prepping'!$A$2:'Automation Prepping'!$A$315, 'Automation Prepping'!$D$2:'Automation Prepping'!$D$315)</f>
        <v>Y (15 July 2022)</v>
      </c>
      <c r="D96" t="str" cm="1">
        <f t="array" ref="D96">_xlfn.XLOOKUP(A96,'Automation Prepping'!$A$2:'Automation Prepping'!$A$315, 'Automation Prepping'!$F$2:'Automation Prepping'!$F$315)</f>
        <v>Y</v>
      </c>
      <c r="F96" t="str" cm="1">
        <f t="array" ref="F96">_xlfn.XLOOKUP(A96,'Automation Prepping'!$A$2:'Automation Prepping'!$A$315, 'Automation Prepping'!$H$2:'Automation Prepping'!$H$315)</f>
        <v>Y</v>
      </c>
      <c r="L96" t="str" cm="1">
        <f t="array" ref="L96">_xlfn.XLOOKUP(A96,'Automation Prepping'!$A$2:'Automation Prepping'!$A$315, 'Automation Prepping'!$I$2:'Automation Prepping'!$I$315)</f>
        <v>https://advance-lexis-com.ezproxy.library.tufts.edu/search/?pdmfid=1516831&amp;crid=84d6780f-f1f4-46b2-9014-3bdfc9efc886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olo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97" spans="1:12" ht="16" x14ac:dyDescent="0.2">
      <c r="A97" s="49" t="s">
        <v>285</v>
      </c>
      <c r="B97" s="49" t="s">
        <v>284</v>
      </c>
      <c r="C97" s="63" t="str" cm="1">
        <f t="array" ref="C97">_xlfn.XLOOKUP(A97,'Automation Prepping'!$A$2:'Automation Prepping'!$A$315, 'Automation Prepping'!$D$2:'Automation Prepping'!$D$315)</f>
        <v>Y (15 July 2022)</v>
      </c>
      <c r="D97" t="str" cm="1">
        <f t="array" ref="D97">_xlfn.XLOOKUP(A97,'Automation Prepping'!$A$2:'Automation Prepping'!$A$315, 'Automation Prepping'!$F$2:'Automation Prepping'!$F$315)</f>
        <v>Y</v>
      </c>
      <c r="F97" t="str" cm="1">
        <f t="array" ref="F97">_xlfn.XLOOKUP(A97,'Automation Prepping'!$A$2:'Automation Prepping'!$A$315, 'Automation Prepping'!$H$2:'Automation Prepping'!$H$315)</f>
        <v>Y</v>
      </c>
      <c r="L97" t="str" cm="1">
        <f t="array" ref="L97">_xlfn.XLOOKUP(A97,'Automation Prepping'!$A$2:'Automation Prepping'!$A$315, 'Automation Prepping'!$I$2:'Automation Prepping'!$I$315)</f>
        <v>https://advance-lexis-com.ezproxy.library.tufts.edu/search/?pdmfid=1516831&amp;crid=3f155370-8b84-4025-99ad-2af56163d96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oascor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98" spans="1:12" ht="16" x14ac:dyDescent="0.2">
      <c r="A98" s="49" t="s">
        <v>287</v>
      </c>
      <c r="B98" s="49" t="s">
        <v>288</v>
      </c>
      <c r="C98" s="63" t="str" cm="1">
        <f t="array" ref="C98">_xlfn.XLOOKUP(A98,'Automation Prepping'!$A$2:'Automation Prepping'!$A$315, 'Automation Prepping'!$D$2:'Automation Prepping'!$D$315)</f>
        <v>N</v>
      </c>
      <c r="D98" t="str" cm="1">
        <f t="array" ref="D98">_xlfn.XLOOKUP(A98,'Automation Prepping'!$A$2:'Automation Prepping'!$A$315, 'Automation Prepping'!$F$2:'Automation Prepping'!$F$315)</f>
        <v>Y</v>
      </c>
      <c r="F98" cm="1">
        <f t="array" ref="F98">_xlfn.XLOOKUP(A98,'Automation Prepping'!$A$2:'Automation Prepping'!$A$315, 'Automation Prepping'!$H$2:'Automation Prepping'!$H$315)</f>
        <v>0</v>
      </c>
      <c r="I98" t="s">
        <v>1448</v>
      </c>
      <c r="L98" t="str" cm="1">
        <f t="array" ref="L98">_xlfn.XLOOKUP(A98,'Automation Prepping'!$A$2:'Automation Prepping'!$A$315, 'Automation Prepping'!$I$2:'Automation Prepping'!$I$315)</f>
        <v>https://advance-lexis-com.ezproxy.library.tufts.edu/search/?pdmfid=1516831&amp;crid=94b1f816-1e50-4727-87c7-b3de1d7b0393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ffluent+du+Lot+OR+Agout+OR+Alrance+OR+Ariege+OR+Arrats+OR+Aveyron+OR+Bage+OR+Baise+OR+Ceret+OR+Cerou+OR+Dadou+OR+Dourdou+OR+Dropt+OR+Garonne+OR+Gelise+OR+Gers+OR+Gesse+OR+Gimone+OR+Labenede+OR+Lezert+OR+Lot+OR+Osse+OR+Save+OR+Tarn+OR+Tolerme+OR+CAPS(Touch)+OR+Truel+OR+Truyere+OR+Valescure+OR+Vebre+OR+Viaur+OR+Vioulou+OR+Ardila+OR+Campilhas+OR+Chanca+OR+Cobres+OR+Dogeba+OR+Odivelas+OR+Roxo+OR+Vale+Diogo+OR+Vascao+OR+Xarra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v>
      </c>
    </row>
    <row r="99" spans="1:12" ht="32" x14ac:dyDescent="0.2">
      <c r="A99" s="49" t="s">
        <v>290</v>
      </c>
      <c r="B99" s="49" t="s">
        <v>289</v>
      </c>
      <c r="C99" s="63" t="str" cm="1">
        <f t="array" ref="C99">_xlfn.XLOOKUP(A99,'Automation Prepping'!$A$2:'Automation Prepping'!$A$315, 'Automation Prepping'!$D$2:'Automation Prepping'!$D$315)</f>
        <v>N</v>
      </c>
      <c r="D99" t="str" cm="1">
        <f t="array" ref="D99">_xlfn.XLOOKUP(A99,'Automation Prepping'!$A$2:'Automation Prepping'!$A$315, 'Automation Prepping'!$F$2:'Automation Prepping'!$F$315)</f>
        <v>Need Add to 2024</v>
      </c>
      <c r="F99" cm="1">
        <f t="array" ref="F99">_xlfn.XLOOKUP(A99,'Automation Prepping'!$A$2:'Automation Prepping'!$A$315, 'Automation Prepping'!$H$2:'Automation Prepping'!$H$315)</f>
        <v>0</v>
      </c>
      <c r="L99" t="str" cm="1">
        <f t="array" ref="L99">_xlfn.XLOOKUP(A99,'Automation Prepping'!$A$2:'Automation Prepping'!$A$315, 'Automation Prepping'!$I$2:'Automation Prepping'!$I$315)</f>
        <v>https://advance-lexis-com.ezproxy.library.tufts.edu/search/?pdmfid=1516831&amp;crid=85ff7ff7-204f-4222-ba1c-ba1508195f0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ruzskiy+Yelanch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100" spans="1:12" ht="16" x14ac:dyDescent="0.2">
      <c r="A100" s="49" t="s">
        <v>292</v>
      </c>
      <c r="B100" s="49" t="s">
        <v>293</v>
      </c>
      <c r="C100" s="63" t="str" cm="1">
        <f t="array" ref="C100">_xlfn.XLOOKUP(A100,'Automation Prepping'!$A$2:'Automation Prepping'!$A$315, 'Automation Prepping'!$D$2:'Automation Prepping'!$D$315)</f>
        <v>N</v>
      </c>
      <c r="D100" t="str" cm="1">
        <f t="array" ref="D100">_xlfn.XLOOKUP(A100,'Automation Prepping'!$A$2:'Automation Prepping'!$A$315, 'Automation Prepping'!$F$2:'Automation Prepping'!$F$315)</f>
        <v>Y</v>
      </c>
      <c r="F100" t="str" cm="1">
        <f t="array" ref="F100">_xlfn.XLOOKUP(A100,'Automation Prepping'!$A$2:'Automation Prepping'!$A$315, 'Automation Prepping'!$H$2:'Automation Prepping'!$H$315)</f>
        <v>Y</v>
      </c>
      <c r="I100" t="s">
        <v>1448</v>
      </c>
      <c r="L100" t="str" cm="1">
        <f t="array" ref="L100">_xlfn.XLOOKUP(A100,'Automation Prepping'!$A$2:'Automation Prepping'!$A$315, 'Automation Prepping'!$I$2:'Automation Prepping'!$I$315)</f>
        <v>https://advance-lexis-com.ezproxy.library.tufts.edu/search/?pdmfid=1516831&amp;crid=0f78b520-0c71-424e-a2c8-2bd554a2f4b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Great)+Scarci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3c84cd28-db4f-4118-821f-7d4f84b30330</v>
      </c>
    </row>
    <row r="101" spans="1:12" ht="16" x14ac:dyDescent="0.2">
      <c r="A101" s="49" t="s">
        <v>295</v>
      </c>
      <c r="B101" s="49" t="s">
        <v>294</v>
      </c>
      <c r="C101" s="63" t="str" cm="1">
        <f t="array" ref="C101">_xlfn.XLOOKUP(A101,'Automation Prepping'!$A$2:'Automation Prepping'!$A$315, 'Automation Prepping'!$D$2:'Automation Prepping'!$D$315)</f>
        <v>Y (15 July 2022)</v>
      </c>
      <c r="D101" t="str" cm="1">
        <f t="array" ref="D101">_xlfn.XLOOKUP(A101,'Automation Prepping'!$A$2:'Automation Prepping'!$A$315, 'Automation Prepping'!$F$2:'Automation Prepping'!$F$315)</f>
        <v>Y</v>
      </c>
      <c r="F101" t="str" cm="1">
        <f t="array" ref="F101">_xlfn.XLOOKUP(A101,'Automation Prepping'!$A$2:'Automation Prepping'!$A$315, 'Automation Prepping'!$H$2:'Automation Prepping'!$H$315)</f>
        <v>Y</v>
      </c>
      <c r="L101" t="str" cm="1">
        <f t="array" ref="L101">_xlfn.XLOOKUP(A101,'Automation Prepping'!$A$2:'Automation Prepping'!$A$315, 'Automation Prepping'!$I$2:'Automation Prepping'!$I$315)</f>
        <v>https://advance-lexis-com.ezproxy.library.tufts.edu/search/?pdmfid=1516831&amp;crid=5045584b-918d-4201-8ae2-7431ad0b56d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uadia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02" spans="1:12" ht="16" x14ac:dyDescent="0.2">
      <c r="A102" s="49" t="s">
        <v>297</v>
      </c>
      <c r="B102" s="49" t="s">
        <v>296</v>
      </c>
      <c r="C102" s="63" t="str" cm="1">
        <f t="array" ref="C102">_xlfn.XLOOKUP(A102,'Automation Prepping'!$A$2:'Automation Prepping'!$A$315, 'Automation Prepping'!$D$2:'Automation Prepping'!$D$315)</f>
        <v>Y (15 July 2022)</v>
      </c>
      <c r="D102" t="str" cm="1">
        <f t="array" ref="D102">_xlfn.XLOOKUP(A102,'Automation Prepping'!$A$2:'Automation Prepping'!$A$315, 'Automation Prepping'!$F$2:'Automation Prepping'!$F$315)</f>
        <v>Y</v>
      </c>
      <c r="F102" t="str" cm="1">
        <f t="array" ref="F102">_xlfn.XLOOKUP(A102,'Automation Prepping'!$A$2:'Automation Prepping'!$A$315, 'Automation Prepping'!$H$2:'Automation Prepping'!$H$315)</f>
        <v>Y</v>
      </c>
      <c r="L102" t="str" cm="1">
        <f t="array" ref="L102">_xlfn.XLOOKUP(A102,'Automation Prepping'!$A$2:'Automation Prepping'!$A$315, 'Automation Prepping'!$I$2:'Automation Prepping'!$I$315)</f>
        <v>https://advance-lexis-com.ezproxy.library.tufts.edu/search/?pdmfid=1516831&amp;crid=f6fcff16-660c-4234-a3f0-85b894bf889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ui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03" spans="1:12" ht="16" x14ac:dyDescent="0.2">
      <c r="A103" s="49" t="s">
        <v>299</v>
      </c>
      <c r="B103" s="49" t="s">
        <v>298</v>
      </c>
      <c r="C103" s="63" t="str" cm="1">
        <f t="array" ref="C103">_xlfn.XLOOKUP(A103,'Automation Prepping'!$A$2:'Automation Prepping'!$A$315, 'Automation Prepping'!$D$2:'Automation Prepping'!$D$315)</f>
        <v>Y (15 July 2022)</v>
      </c>
      <c r="D103" t="str" cm="1">
        <f t="array" ref="D103">_xlfn.XLOOKUP(A103,'Automation Prepping'!$A$2:'Automation Prepping'!$A$315, 'Automation Prepping'!$F$2:'Automation Prepping'!$F$315)</f>
        <v>Y</v>
      </c>
      <c r="F103" t="str" cm="1">
        <f t="array" ref="F103">_xlfn.XLOOKUP(A103,'Automation Prepping'!$A$2:'Automation Prepping'!$A$315, 'Automation Prepping'!$H$2:'Automation Prepping'!$H$315)</f>
        <v>Y</v>
      </c>
      <c r="L103" t="str" cm="1">
        <f t="array" ref="L103">_xlfn.XLOOKUP(A103,'Automation Prepping'!$A$2:'Automation Prepping'!$A$315, 'Automation Prepping'!$I$2:'Automation Prepping'!$I$315)</f>
        <v>https://advance-lexis-com.ezproxy.library.tufts.edu/search/?pdmfid=1516831&amp;crid=80200f82-f7d0-4cf6-bc3e-a0228037e464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auj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04" spans="1:12" ht="16" x14ac:dyDescent="0.2">
      <c r="A104" s="49" t="s">
        <v>301</v>
      </c>
      <c r="B104" s="49" t="s">
        <v>302</v>
      </c>
      <c r="C104" s="63" t="str" cm="1">
        <f t="array" ref="C104">_xlfn.XLOOKUP(A104,'Automation Prepping'!$A$2:'Automation Prepping'!$A$315, 'Automation Prepping'!$D$2:'Automation Prepping'!$D$315)</f>
        <v>N</v>
      </c>
      <c r="D104" t="str" cm="1">
        <f t="array" ref="D104">_xlfn.XLOOKUP(A104,'Automation Prepping'!$A$2:'Automation Prepping'!$A$315, 'Automation Prepping'!$F$2:'Automation Prepping'!$F$315)</f>
        <v>Y</v>
      </c>
      <c r="F104" cm="1">
        <f t="array" ref="F104">_xlfn.XLOOKUP(A104,'Automation Prepping'!$A$2:'Automation Prepping'!$A$315, 'Automation Prepping'!$H$2:'Automation Prepping'!$H$315)</f>
        <v>0</v>
      </c>
      <c r="L104" t="str" cm="1">
        <f t="array" ref="L104">_xlfn.XLOOKUP(A104,'Automation Prepping'!$A$2:'Automation Prepping'!$A$315, 'Automation Prepping'!$I$2:'Automation Prepping'!$I$315)</f>
        <v>https://advance-lexis-com.ezproxy.library.tufts.edu/search/?pdmfid=1516831&amp;crid=c5f0c1b9-010f-43db-9a21-bd1b38122093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pyung+OR+Banbyon+OR+Bongjeon+OR+Buk+OR+Chachon+OR+Chongyong+OR+Chungdo+OR+Dae+OR+Donghwa+OR+Eumsung+OR+Gabsan+OR+Geumho+OR+Geumpo+OR+Gisegok+OR+Guan+OR+Gugeo+OR+Gumi+OR+Gupyung+OR+Gyungho+OR+CAPS(Han)+OR+Hangye+OR+Ieon+OR+Ilgwang+OR+Janggok+OR+Jangsu+OR+Jasan+OR+Jinchon+OR+Jinwi+OR+Jongri+OR+Joryong+OR+Jungdong+OR+Milwon+OR+Mulchi+OR+Munam+OR+Myungam+OR+Naega+OR+Naesung+OR+Nakdong+OR+Namhan+OR+Pumgok+OR+Sagae+OR+Samgi+OR+Seokhwa+OR+Soga+OR+Suyeong+OR+Suyong+OR+Wangjwa+OR+Woldong+OR+Yo+OR+Yongchon+OR+Yongge+OR+Yongwoon+OR+Chongryong+OR+Hancho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oc</v>
      </c>
    </row>
    <row r="105" spans="1:12" ht="16" x14ac:dyDescent="0.2">
      <c r="A105" s="49" t="s">
        <v>304</v>
      </c>
      <c r="B105" s="49" t="s">
        <v>305</v>
      </c>
      <c r="C105" s="63" t="str" cm="1">
        <f t="array" ref="C105">_xlfn.XLOOKUP(A105,'Automation Prepping'!$A$2:'Automation Prepping'!$A$315, 'Automation Prepping'!$D$2:'Automation Prepping'!$D$315)</f>
        <v>Y (1 July 2023)</v>
      </c>
      <c r="D105" t="str" cm="1">
        <f t="array" ref="D105">_xlfn.XLOOKUP(A105,'Automation Prepping'!$A$2:'Automation Prepping'!$A$315, 'Automation Prepping'!$F$2:'Automation Prepping'!$F$315)</f>
        <v>Y</v>
      </c>
      <c r="F105" t="str" cm="1">
        <f t="array" ref="F105">_xlfn.XLOOKUP(A105,'Automation Prepping'!$A$2:'Automation Prepping'!$A$315, 'Automation Prepping'!$H$2:'Automation Prepping'!$H$315)</f>
        <v>Y</v>
      </c>
      <c r="L105" t="str" cm="1">
        <f t="array" ref="L105">_xlfn.XLOOKUP(A105,'Automation Prepping'!$A$2:'Automation Prepping'!$A$315, 'Automation Prepping'!$I$2:'Automation Prepping'!$I$315)</f>
        <v>https://advance-lexis-com.ezproxy.library.tufts.edu/search/?pdmfid=1516831&amp;crid=e03c870d-a6c5-4f81-a016-238627a1a3a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ari+OR+Harirud)+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06" spans="1:12" ht="32" x14ac:dyDescent="0.2">
      <c r="A106" s="49" t="s">
        <v>307</v>
      </c>
      <c r="B106" s="49" t="s">
        <v>308</v>
      </c>
      <c r="C106" s="63" t="str" cm="1">
        <f t="array" ref="C106">_xlfn.XLOOKUP(A106,'Automation Prepping'!$A$2:'Automation Prepping'!$A$315, 'Automation Prepping'!$D$2:'Automation Prepping'!$D$315)</f>
        <v>Y (15 July 2022)</v>
      </c>
      <c r="D106" cm="1">
        <f t="array" ref="D106">_xlfn.XLOOKUP(A106,'Automation Prepping'!$A$2:'Automation Prepping'!$A$315, 'Automation Prepping'!$F$2:'Automation Prepping'!$F$315)</f>
        <v>0</v>
      </c>
      <c r="F106" cm="1">
        <f t="array" ref="F106">_xlfn.XLOOKUP(A106,'Automation Prepping'!$A$2:'Automation Prepping'!$A$315, 'Automation Prepping'!$H$2:'Automation Prepping'!$H$315)</f>
        <v>0</v>
      </c>
      <c r="L106" t="str" cm="1">
        <f t="array" ref="L106">_xlfn.XLOOKUP(A106,'Automation Prepping'!$A$2:'Automation Prepping'!$A$315, 'Automation Prepping'!$I$2:'Automation Prepping'!$I$315)</f>
        <v>https://advance-lexis-com.ezproxy.library.tufts.edu/search/?pdmfid=1516831&amp;crid=b3a3964b-15fb-4936-b966-4a9e1be8bf75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amun+I+Mashkel+OR+Raksh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07" spans="1:12" ht="16" x14ac:dyDescent="0.2">
      <c r="A107" s="49" t="s">
        <v>311</v>
      </c>
      <c r="B107" s="49" t="s">
        <v>312</v>
      </c>
      <c r="C107" s="63" t="str" cm="1">
        <f t="array" ref="C107">_xlfn.XLOOKUP(A107,'Automation Prepping'!$A$2:'Automation Prepping'!$A$315, 'Automation Prepping'!$D$2:'Automation Prepping'!$D$315)</f>
        <v>N</v>
      </c>
      <c r="D107" t="str" cm="1">
        <f t="array" ref="D107">_xlfn.XLOOKUP(A107,'Automation Prepping'!$A$2:'Automation Prepping'!$A$315, 'Automation Prepping'!$F$2:'Automation Prepping'!$F$315)</f>
        <v>Y</v>
      </c>
      <c r="F107" cm="1">
        <f t="array" ref="F107">_xlfn.XLOOKUP(A107,'Automation Prepping'!$A$2:'Automation Prepping'!$A$315, 'Automation Prepping'!$H$2:'Automation Prepping'!$H$315)</f>
        <v>0</v>
      </c>
      <c r="I107" t="s">
        <v>1448</v>
      </c>
      <c r="L107" t="str" cm="1">
        <f t="array" ref="L107">_xlfn.XLOOKUP(A107,'Automation Prepping'!$A$2:'Automation Prepping'!$A$315, 'Automation Prepping'!$I$2:'Automation Prepping'!$I$315)</f>
        <v>https://advance-lexis-com.ezproxy.library.tufts.edu/search/?pdmfid=1516831&amp;crid=138a28b9-b110-44a5-9fd6-a183312424e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b-e+Istadeh-ye+OR+Arghanadab+OR+Dasht-e+Nuvar+OR+Hamuh-e+Puzak+OR+Helmand+OR+Rowd-e+Lurah+OR+Tarnak+OR+Kor+OR+Sivand)+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aff113b6-2cc6-49f7-bcf9-d55d8442ceae</v>
      </c>
    </row>
    <row r="108" spans="1:12" ht="16" x14ac:dyDescent="0.2">
      <c r="A108" s="49" t="s">
        <v>314</v>
      </c>
      <c r="B108" s="49" t="s">
        <v>315</v>
      </c>
      <c r="C108" s="63" t="str" cm="1">
        <f t="array" ref="C108">_xlfn.XLOOKUP(A108,'Automation Prepping'!$A$2:'Automation Prepping'!$A$315, 'Automation Prepping'!$D$2:'Automation Prepping'!$D$315)</f>
        <v>N</v>
      </c>
      <c r="D108" t="str" cm="1">
        <f t="array" ref="D108">_xlfn.XLOOKUP(A108,'Automation Prepping'!$A$2:'Automation Prepping'!$A$315, 'Automation Prepping'!$F$2:'Automation Prepping'!$F$315)</f>
        <v>Need Add to 2024</v>
      </c>
      <c r="F108" cm="1">
        <f t="array" ref="F108">_xlfn.XLOOKUP(A108,'Automation Prepping'!$A$2:'Automation Prepping'!$A$315, 'Automation Prepping'!$H$2:'Automation Prepping'!$H$315)</f>
        <v>0</v>
      </c>
      <c r="I108" t="s">
        <v>1448</v>
      </c>
      <c r="L108" t="str" cm="1">
        <f t="array" ref="L108">_xlfn.XLOOKUP(A108,'Automation Prepping'!$A$2:'Automation Prepping'!$A$315, 'Automation Prepping'!$I$2:'Automation Prepping'!$I$315)</f>
        <v>https://advance-lexis-com.ezproxy.library.tufts.edu/search/?pdmfid=1516831&amp;crid=0a5140c4-c1d1-45a1-aca1-ff9ae32cbe5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ondo+OR+CAPS(Azu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109" spans="1:12" ht="16" x14ac:dyDescent="0.2">
      <c r="A109" s="49" t="s">
        <v>317</v>
      </c>
      <c r="B109" s="49" t="s">
        <v>316</v>
      </c>
      <c r="C109" s="63" t="str" cm="1">
        <f t="array" ref="C109">_xlfn.XLOOKUP(A109,'Automation Prepping'!$A$2:'Automation Prepping'!$A$315, 'Automation Prepping'!$D$2:'Automation Prepping'!$D$315)</f>
        <v>N</v>
      </c>
      <c r="D109" cm="1">
        <f t="array" ref="D109">_xlfn.XLOOKUP(A109,'Automation Prepping'!$A$2:'Automation Prepping'!$A$315, 'Automation Prepping'!$F$2:'Automation Prepping'!$F$315)</f>
        <v>0</v>
      </c>
      <c r="F109" cm="1">
        <f t="array" ref="F109">_xlfn.XLOOKUP(A109,'Automation Prepping'!$A$2:'Automation Prepping'!$A$315, 'Automation Prepping'!$H$2:'Automation Prepping'!$H$315)</f>
        <v>0</v>
      </c>
      <c r="L109" t="str" cm="1">
        <f t="array" ref="L109">_xlfn.XLOOKUP(A109,'Automation Prepping'!$A$2:'Automation Prepping'!$A$315, 'Automation Prepping'!$I$2:'Automation Prepping'!$I$315)</f>
        <v>No Results</v>
      </c>
    </row>
    <row r="110" spans="1:12" ht="16" x14ac:dyDescent="0.2">
      <c r="A110" s="49" t="s">
        <v>319</v>
      </c>
      <c r="B110" s="49" t="s">
        <v>320</v>
      </c>
      <c r="C110" s="63" t="str" cm="1">
        <f t="array" ref="C110">_xlfn.XLOOKUP(A110,'Automation Prepping'!$A$2:'Automation Prepping'!$A$315, 'Automation Prepping'!$D$2:'Automation Prepping'!$D$315)</f>
        <v>Y (15 July 2022)</v>
      </c>
      <c r="D110" t="str" cm="1">
        <f t="array" ref="D110">_xlfn.XLOOKUP(A110,'Automation Prepping'!$A$2:'Automation Prepping'!$A$315, 'Automation Prepping'!$F$2:'Automation Prepping'!$F$315)</f>
        <v>Y</v>
      </c>
      <c r="F110" t="str" cm="1">
        <f t="array" ref="F110">_xlfn.XLOOKUP(A110,'Automation Prepping'!$A$2:'Automation Prepping'!$A$315, 'Automation Prepping'!$H$2:'Automation Prepping'!$H$315)</f>
        <v>Y</v>
      </c>
      <c r="L110" t="str" cm="1">
        <f t="array" ref="L110">_xlfn.XLOOKUP(A110,'Automation Prepping'!$A$2:'Automation Prepping'!$A$315, 'Automation Prepping'!$I$2:'Automation Prepping'!$I$315)</f>
        <v>https://advance-lexis-com.ezproxy.library.tufts.edu/search/?pdmfid=1516831&amp;crid=5cf5cd88-6fb8-4e79-bc0e-97986b7d5b64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Hsi+OR+Bei+Jiang+OR+Dachun+He+OR+Lian+Jiang+OR+Liangjiang+OR+Maotiao+He+OR+Miaotiaohe+OR+Sancha+He+OR+Sanchahe+OR+Weijang+OR+Wengjiang)+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11" spans="1:12" ht="16" x14ac:dyDescent="0.2">
      <c r="A111" s="49" t="s">
        <v>322</v>
      </c>
      <c r="B111" s="49" t="s">
        <v>323</v>
      </c>
      <c r="C111" s="63" t="str" cm="1">
        <f t="array" ref="C111">_xlfn.XLOOKUP(A111,'Automation Prepping'!$A$2:'Automation Prepping'!$A$315, 'Automation Prepping'!$D$2:'Automation Prepping'!$D$315)</f>
        <v>Y (15 July 2022)</v>
      </c>
      <c r="D111" t="str" cm="1">
        <f t="array" ref="D111">_xlfn.XLOOKUP(A111,'Automation Prepping'!$A$2:'Automation Prepping'!$A$315, 'Automation Prepping'!$F$2:'Automation Prepping'!$F$315)</f>
        <v>Y</v>
      </c>
      <c r="F111" t="str" cm="1">
        <f t="array" ref="F111">_xlfn.XLOOKUP(A111,'Automation Prepping'!$A$2:'Automation Prepping'!$A$315, 'Automation Prepping'!$H$2:'Automation Prepping'!$H$315)</f>
        <v>Y</v>
      </c>
      <c r="L111" t="str" cm="1">
        <f t="array" ref="L111">_xlfn.XLOOKUP(A111,'Automation Prepping'!$A$2:'Automation Prepping'!$A$315, 'Automation Prepping'!$I$2:'Automation Prepping'!$I$315)</f>
        <v>https://advance-lexis-com.ezproxy.library.tufts.edu/search/?pdmfid=1516831&amp;crid=14b017ab-a4fb-4090-aeb2-56d6c8563ca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ncomati+OR+Komat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12" spans="1:12" ht="16" x14ac:dyDescent="0.2">
      <c r="A112" s="49" t="s">
        <v>325</v>
      </c>
      <c r="B112" s="49" t="s">
        <v>326</v>
      </c>
      <c r="C112" s="63" t="str" cm="1">
        <f t="array" ref="C112">_xlfn.XLOOKUP(A112,'Automation Prepping'!$A$2:'Automation Prepping'!$A$315, 'Automation Prepping'!$D$2:'Automation Prepping'!$D$315)</f>
        <v>Y (15 July 2022)</v>
      </c>
      <c r="D112" t="str" cm="1">
        <f t="array" ref="D112">_xlfn.XLOOKUP(A112,'Automation Prepping'!$A$2:'Automation Prepping'!$A$315, 'Automation Prepping'!$F$2:'Automation Prepping'!$F$315)</f>
        <v>Y</v>
      </c>
      <c r="F112" t="str" cm="1">
        <f t="array" ref="F112">_xlfn.XLOOKUP(A112,'Automation Prepping'!$A$2:'Automation Prepping'!$A$315, 'Automation Prepping'!$H$2:'Automation Prepping'!$H$315)</f>
        <v>Y</v>
      </c>
      <c r="L112" t="str" cm="1">
        <f t="array" ref="L112">_xlfn.XLOOKUP(A112,'Automation Prepping'!$A$2:'Automation Prepping'!$A$315, 'Automation Prepping'!$I$2:'Automation Prepping'!$I$315)</f>
        <v>https://advance-lexis-com.ezproxy.library.tufts.edu/search/?pdmfid=1516831&amp;crid=c4fc1968-e6d9-4a9d-8a2d-bdd45aa55a3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li+OR+Kunes+He+OR+Illi+OR+Malaya+Almaatin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13" spans="1:12" ht="16" x14ac:dyDescent="0.2">
      <c r="A113" s="49" t="s">
        <v>328</v>
      </c>
      <c r="B113" s="49" t="s">
        <v>327</v>
      </c>
      <c r="C113" s="63" t="str" cm="1">
        <f t="array" ref="C113">_xlfn.XLOOKUP(A113,'Automation Prepping'!$A$2:'Automation Prepping'!$A$315, 'Automation Prepping'!$D$2:'Automation Prepping'!$D$315)</f>
        <v>Y (15 July 2022)</v>
      </c>
      <c r="D113" t="str" cm="1">
        <f t="array" ref="D113">_xlfn.XLOOKUP(A113,'Automation Prepping'!$A$2:'Automation Prepping'!$A$315, 'Automation Prepping'!$F$2:'Automation Prepping'!$F$315)</f>
        <v>Y</v>
      </c>
      <c r="F113" t="str" cm="1">
        <f t="array" ref="F113">_xlfn.XLOOKUP(A113,'Automation Prepping'!$A$2:'Automation Prepping'!$A$315, 'Automation Prepping'!$H$2:'Automation Prepping'!$H$315)</f>
        <v>Y</v>
      </c>
      <c r="L113" t="str" cm="1">
        <f t="array" ref="L113">_xlfn.XLOOKUP(A113,'Automation Prepping'!$A$2:'Automation Prepping'!$A$315, 'Automation Prepping'!$I$2:'Automation Prepping'!$I$315)</f>
        <v>https://advance-lexis-com.ezproxy.library.tufts.edu/search/?pdmfid=1516831&amp;crid=dfcbdca6-9399-4877-a988-6cd2d25f3982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ndalsalv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14" spans="1:12" ht="16" x14ac:dyDescent="0.2">
      <c r="A114" s="49" t="s">
        <v>330</v>
      </c>
      <c r="B114" s="49" t="s">
        <v>331</v>
      </c>
      <c r="C114" s="63" t="str" cm="1">
        <f t="array" ref="C114">_xlfn.XLOOKUP(A114,'Automation Prepping'!$A$2:'Automation Prepping'!$A$315, 'Automation Prepping'!$D$2:'Automation Prepping'!$D$315)</f>
        <v>Y</v>
      </c>
      <c r="D114" cm="1">
        <f t="array" ref="D114">_xlfn.XLOOKUP(A114,'Automation Prepping'!$A$2:'Automation Prepping'!$A$315, 'Automation Prepping'!$F$2:'Automation Prepping'!$F$315)</f>
        <v>0</v>
      </c>
      <c r="F114" cm="1">
        <f t="array" ref="F114">_xlfn.XLOOKUP(A114,'Automation Prepping'!$A$2:'Automation Prepping'!$A$315, 'Automation Prepping'!$H$2:'Automation Prepping'!$H$315)</f>
        <v>0</v>
      </c>
      <c r="L114" t="str" cm="1">
        <f t="array" ref="L114">_xlfn.XLOOKUP(A114,'Automation Prepping'!$A$2:'Automation Prepping'!$A$315, 'Automation Prepping'!$I$2:'Automation Prepping'!$I$315)</f>
        <v>https://advance-lexis-com.ezproxy.library.tufts.edu/search/?pdmfid=1516831&amp;crid=da216ebb-9541-4eee-883e-7ba82ec01ff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ndus+OR+Shiqnan+OR+Aarzan+Garzan+OR+Beas+OR+Bodhegaon+OR+Gilgit+OR+Jogwada+OR+Koyna+OR+Kundlika+OR+Saraswati+OR+Sindphana+OR+Chenab+OR+Haro+OR+Jamergal+OR+Jhelum+OR+Kabul+OR+Khal+Kass+OR+Kundar+OR+Manch+har+Lake+OR+Nain+Sikh+OR+Ravi+OR+Saddle+Dam+OR+Sutlej+OR+Swat+OR+Tain+Pura+OR+Zhob)+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03%2F05%2F2024%7Cdatebetween&amp;pdfromadvancedsearchpage=true&amp;ecomp=qxLg9kk&amp;earg=pdpsf&amp;prid=3003265a-f001-443f-99b5-135de3011c66</v>
      </c>
    </row>
    <row r="115" spans="1:12" ht="16" x14ac:dyDescent="0.2">
      <c r="A115" s="49" t="s">
        <v>333</v>
      </c>
      <c r="B115" s="49" t="s">
        <v>334</v>
      </c>
      <c r="C115" s="63" t="str" cm="1">
        <f t="array" ref="C115">_xlfn.XLOOKUP(A115,'Automation Prepping'!$A$2:'Automation Prepping'!$A$315, 'Automation Prepping'!$D$2:'Automation Prepping'!$D$315)</f>
        <v>N</v>
      </c>
      <c r="D115" t="str" cm="1">
        <f t="array" ref="D115">_xlfn.XLOOKUP(A115,'Automation Prepping'!$A$2:'Automation Prepping'!$A$315, 'Automation Prepping'!$F$2:'Automation Prepping'!$F$315)</f>
        <v>Y</v>
      </c>
      <c r="F115" cm="1">
        <f t="array" ref="F115">_xlfn.XLOOKUP(A115,'Automation Prepping'!$A$2:'Automation Prepping'!$A$315, 'Automation Prepping'!$H$2:'Automation Prepping'!$H$315)</f>
        <v>0</v>
      </c>
      <c r="I115" t="s">
        <v>1448</v>
      </c>
      <c r="L115" t="str" cm="1">
        <f t="array" ref="L115">_xlfn.XLOOKUP(A115,'Automation Prepping'!$A$2:'Automation Prepping'!$A$315, 'Automation Prepping'!$I$2:'Automation Prepping'!$I$315)</f>
        <v>https://advance-lexis-com.ezproxy.library.tufts.edu/search/?pdmfid=1516831&amp;crid=cc7478ee-c5e2-4073-9690-ea9065c1fdd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rrawaddy+OR+Daying+OR+Long+Chuan+OR+Thoubal+Turel+OR+Logtak+Lake+OR+Chidwin+OR+Chindwin+OR+Chinthe+OR+Gedu+OR+Heinhtun+OR+Iudawgyi+Lake+OR+Kaukkwe+OR+Kiu+OR+Kodan+OR+Lang+OR+CAPS(Ma)+OR+Mali+OR+Manipur+OR+Meza+OR+CAPS(Mon)+OR+Mu+OR+Myitnge+OR+Myittha+OR+Nampak+OR+Namyin+OR+Nat+E-zu+OR+Nmai+OR+Pani+OR+Schweli+OR+Tainggwin+OR+Tamai+OR+Tarung+OR+Tizu-Nantaleik+OR+Uyn+OR+CAPS(Yao)+OR+CAPS(Yu)+OR+Zahaw)+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v>
      </c>
    </row>
    <row r="116" spans="1:12" ht="16" x14ac:dyDescent="0.2">
      <c r="A116" s="49" t="s">
        <v>336</v>
      </c>
      <c r="B116" s="49" t="s">
        <v>337</v>
      </c>
      <c r="C116" s="63" t="str" cm="1">
        <f t="array" ref="C116">_xlfn.XLOOKUP(A116,'Automation Prepping'!$A$2:'Automation Prepping'!$A$315, 'Automation Prepping'!$D$2:'Automation Prepping'!$D$315)</f>
        <v>Y (15 July 2022)</v>
      </c>
      <c r="D116" t="str" cm="1">
        <f t="array" ref="D116">_xlfn.XLOOKUP(A116,'Automation Prepping'!$A$2:'Automation Prepping'!$A$315, 'Automation Prepping'!$F$2:'Automation Prepping'!$F$315)</f>
        <v>Y</v>
      </c>
      <c r="F116" t="str" cm="1">
        <f t="array" ref="F116">_xlfn.XLOOKUP(A116,'Automation Prepping'!$A$2:'Automation Prepping'!$A$315, 'Automation Prepping'!$H$2:'Automation Prepping'!$H$315)</f>
        <v>Y</v>
      </c>
      <c r="L116" t="str" cm="1">
        <f t="array" ref="L116">_xlfn.XLOOKUP(A116,'Automation Prepping'!$A$2:'Automation Prepping'!$A$315, 'Automation Prepping'!$I$2:'Automation Prepping'!$I$315)</f>
        <v>https://advance-lexis-com.ezproxy.library.tufts.edu/search/?pdmfid=1516831&amp;crid=f071d0bf-7c39-45c1-81af-75fd01173f5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Isonzo+OR+So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17" spans="1:12" ht="16" x14ac:dyDescent="0.2">
      <c r="A117" s="49" t="s">
        <v>339</v>
      </c>
      <c r="B117" s="49" t="s">
        <v>338</v>
      </c>
      <c r="C117" s="63" t="str" cm="1">
        <f t="array" ref="C117">_xlfn.XLOOKUP(A117,'Automation Prepping'!$A$2:'Automation Prepping'!$A$315, 'Automation Prepping'!$D$2:'Automation Prepping'!$D$315)</f>
        <v>Y (15 July 2022)</v>
      </c>
      <c r="D117" t="str" cm="1">
        <f t="array" ref="D117">_xlfn.XLOOKUP(A117,'Automation Prepping'!$A$2:'Automation Prepping'!$A$315, 'Automation Prepping'!$F$2:'Automation Prepping'!$F$315)</f>
        <v>Y</v>
      </c>
      <c r="F117" t="str" cm="1">
        <f t="array" ref="F117">_xlfn.XLOOKUP(A117,'Automation Prepping'!$A$2:'Automation Prepping'!$A$315, 'Automation Prepping'!$H$2:'Automation Prepping'!$H$315)</f>
        <v>Y</v>
      </c>
      <c r="L117" t="str" cm="1">
        <f t="array" ref="L117">_xlfn.XLOOKUP(A117,'Automation Prepping'!$A$2:'Automation Prepping'!$A$315, 'Automation Prepping'!$I$2:'Automation Prepping'!$I$315)</f>
        <v>https://advance-lexis-com.ezproxy.library.tufts.edu/search/?pdmfid=1516831&amp;crid=318a5b92-6c09-4816-a079-2e8223d8cf40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ayapu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18" spans="1:12" ht="16" x14ac:dyDescent="0.2">
      <c r="A118" s="49" t="s">
        <v>341</v>
      </c>
      <c r="B118" s="49" t="s">
        <v>340</v>
      </c>
      <c r="C118" s="63" t="str" cm="1">
        <f t="array" ref="C118">_xlfn.XLOOKUP(A118,'Automation Prepping'!$A$2:'Automation Prepping'!$A$315, 'Automation Prepping'!$D$2:'Automation Prepping'!$D$315)</f>
        <v>N</v>
      </c>
      <c r="D118" t="str" cm="1">
        <f t="array" ref="D118">_xlfn.XLOOKUP(A118,'Automation Prepping'!$A$2:'Automation Prepping'!$A$315, 'Automation Prepping'!$F$2:'Automation Prepping'!$F$315)</f>
        <v>Need Add to 2024</v>
      </c>
      <c r="F118" cm="1">
        <f t="array" ref="F118">_xlfn.XLOOKUP(A118,'Automation Prepping'!$A$2:'Automation Prepping'!$A$315, 'Automation Prepping'!$H$2:'Automation Prepping'!$H$315)</f>
        <v>0</v>
      </c>
      <c r="I118" t="s">
        <v>1448</v>
      </c>
      <c r="L118" t="str" cm="1">
        <f t="array" ref="L118">_xlfn.XLOOKUP(A118,'Automation Prepping'!$A$2:'Automation Prepping'!$A$315, 'Automation Prepping'!$I$2:'Automation Prepping'!$I$315)</f>
        <v>https://advance-lexis-com.ezproxy.library.tufts.edu/search/?pdmfid=1516831&amp;crid=28bfac80-0b01-4800-b385-8bdcaf7b108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acob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119" spans="1:12" ht="16" x14ac:dyDescent="0.2">
      <c r="A119" s="49" t="s">
        <v>343</v>
      </c>
      <c r="B119" s="49" t="s">
        <v>344</v>
      </c>
      <c r="C119" s="63" t="str" cm="1">
        <f t="array" ref="C119">_xlfn.XLOOKUP(A119,'Automation Prepping'!$A$2:'Automation Prepping'!$A$315, 'Automation Prepping'!$D$2:'Automation Prepping'!$D$315)</f>
        <v>N</v>
      </c>
      <c r="D119" t="str" cm="1">
        <f t="array" ref="D119">_xlfn.XLOOKUP(A119,'Automation Prepping'!$A$2:'Automation Prepping'!$A$315, 'Automation Prepping'!$F$2:'Automation Prepping'!$F$315)</f>
        <v>Y</v>
      </c>
      <c r="F119" t="str" cm="1">
        <f t="array" ref="F119">_xlfn.XLOOKUP(A119,'Automation Prepping'!$A$2:'Automation Prepping'!$A$315, 'Automation Prepping'!$H$2:'Automation Prepping'!$H$315)</f>
        <v>Y</v>
      </c>
      <c r="I119" t="s">
        <v>1448</v>
      </c>
      <c r="L119" t="str" cm="1">
        <f t="array" ref="L119">_xlfn.XLOOKUP(A119,'Automation Prepping'!$A$2:'Automation Prepping'!$A$315, 'Automation Prepping'!$I$2:'Automation Prepping'!$I$315)</f>
        <v>https://advance-lexis-com.ezproxy.library.tufts.edu/search/?pdmfid=1516831&amp;crid=93d2dd1b-1bf9-4a63-872c-008deedb7d88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ordan+OR+CAPS(Dead+Sea)+OR+Sea+of+Galilee+OR+Nahr+az+Zarga+OR+Wadi+al+Jaydyb+OR+Yarmuk+OR+Yarmouk+OR+Hasb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efec660b-1716-4f2b-8a85-94c9da0c13fc</v>
      </c>
    </row>
    <row r="120" spans="1:12" ht="16" x14ac:dyDescent="0.2">
      <c r="A120" s="49" t="s">
        <v>347</v>
      </c>
      <c r="B120" s="49" t="s">
        <v>348</v>
      </c>
      <c r="C120" s="63" t="str" cm="1">
        <f t="array" ref="C120">_xlfn.XLOOKUP(A120,'Automation Prepping'!$A$2:'Automation Prepping'!$A$315, 'Automation Prepping'!$D$2:'Automation Prepping'!$D$315)</f>
        <v>N</v>
      </c>
      <c r="D120" t="str" cm="1">
        <f t="array" ref="D120">_xlfn.XLOOKUP(A120,'Automation Prepping'!$A$2:'Automation Prepping'!$A$315, 'Automation Prepping'!$F$2:'Automation Prepping'!$F$315)</f>
        <v>Y</v>
      </c>
      <c r="F120" cm="1">
        <f t="array" ref="F120">_xlfn.XLOOKUP(A120,'Automation Prepping'!$A$2:'Automation Prepping'!$A$315, 'Automation Prepping'!$H$2:'Automation Prepping'!$H$315)</f>
        <v>0</v>
      </c>
      <c r="L120" t="str" cm="1">
        <f t="array" ref="L120">_xlfn.XLOOKUP(A120,'Automation Prepping'!$A$2:'Automation Prepping'!$A$315, 'Automation Prepping'!$I$2:'Automation Prepping'!$I$315)</f>
        <v>https://advance-lexis-com.ezproxy.library.tufts.edu/search/?pdmfid=1516831&amp;crid=e74ae721-8912-4969-87b5-2fab8e375725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uba+OR+Shibeli+OR+Baua+OR+Daketa+OR+Fafen+OR+Genale+OR+Jerer+OR+Ramis+OR+T%27er+OR+Wabe+Gestro+OR+Wabe+Shebele+OR+Welmel+OR+Dawa+OR+Madax+Gooy+OR+Webi+Shabell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3450c861-2b6a-4fb9-9693-033ae8d8a687</v>
      </c>
    </row>
    <row r="121" spans="1:12" ht="16" x14ac:dyDescent="0.2">
      <c r="A121" s="49" t="s">
        <v>350</v>
      </c>
      <c r="B121" s="49" t="s">
        <v>349</v>
      </c>
      <c r="C121" s="63" t="str" cm="1">
        <f t="array" ref="C121">_xlfn.XLOOKUP(A121,'Automation Prepping'!$A$2:'Automation Prepping'!$A$315, 'Automation Prepping'!$D$2:'Automation Prepping'!$D$315)</f>
        <v>Y (15 July 2022)</v>
      </c>
      <c r="D121" t="str" cm="1">
        <f t="array" ref="D121">_xlfn.XLOOKUP(A121,'Automation Prepping'!$A$2:'Automation Prepping'!$A$315, 'Automation Prepping'!$F$2:'Automation Prepping'!$F$315)</f>
        <v>Y</v>
      </c>
      <c r="F121" t="str" cm="1">
        <f t="array" ref="F121">_xlfn.XLOOKUP(A121,'Automation Prepping'!$A$2:'Automation Prepping'!$A$315, 'Automation Prepping'!$H$2:'Automation Prepping'!$H$315)</f>
        <v>Y</v>
      </c>
      <c r="L121" t="str" cm="1">
        <f t="array" ref="L121">_xlfn.XLOOKUP(A121,'Automation Prepping'!$A$2:'Automation Prepping'!$A$315, 'Automation Prepping'!$I$2:'Automation Prepping'!$I$315)</f>
        <v>https://advance-lexis-com.ezproxy.library.tufts.edu/search/?pdmfid=1516831&amp;crid=866e7274-e4e9-4c92-b0f6-3e2eb35ee404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urad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22" spans="1:12" ht="16" x14ac:dyDescent="0.2">
      <c r="A122" s="49" t="s">
        <v>352</v>
      </c>
      <c r="B122" s="49" t="s">
        <v>351</v>
      </c>
      <c r="C122" s="63" t="str" cm="1">
        <f t="array" ref="C122">_xlfn.XLOOKUP(A122,'Automation Prepping'!$A$2:'Automation Prepping'!$A$315, 'Automation Prepping'!$D$2:'Automation Prepping'!$D$315)</f>
        <v>Y (15 July 2022)</v>
      </c>
      <c r="D122" t="str" cm="1">
        <f t="array" ref="D122">_xlfn.XLOOKUP(A122,'Automation Prepping'!$A$2:'Automation Prepping'!$A$315, 'Automation Prepping'!$F$2:'Automation Prepping'!$F$315)</f>
        <v>Y</v>
      </c>
      <c r="F122" t="str" cm="1">
        <f t="array" ref="F122">_xlfn.XLOOKUP(A122,'Automation Prepping'!$A$2:'Automation Prepping'!$A$315, 'Automation Prepping'!$H$2:'Automation Prepping'!$H$315)</f>
        <v>Y</v>
      </c>
      <c r="L122" t="str" cm="1">
        <f t="array" ref="L122">_xlfn.XLOOKUP(A122,'Automation Prepping'!$A$2:'Automation Prepping'!$A$315, 'Automation Prepping'!$I$2:'Automation Prepping'!$I$315)</f>
        <v>https://advance-lexis-com.ezproxy.library.tufts.edu/search/?pdmfid=1516831&amp;crid=b597f95b-b7cb-4a2d-b884-a3c713a3ac9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alad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23" spans="1:12" ht="16" x14ac:dyDescent="0.2">
      <c r="A123" s="49" t="s">
        <v>354</v>
      </c>
      <c r="B123" s="49" t="s">
        <v>355</v>
      </c>
      <c r="C123" s="63" t="str" cm="1">
        <f t="array" ref="C123">_xlfn.XLOOKUP(A123,'Automation Prepping'!$A$2:'Automation Prepping'!$A$315, 'Automation Prepping'!$D$2:'Automation Prepping'!$D$315)</f>
        <v>Y (15 July 2022)</v>
      </c>
      <c r="D123" t="str" cm="1">
        <f t="array" ref="D123">_xlfn.XLOOKUP(A123,'Automation Prepping'!$A$2:'Automation Prepping'!$A$315, 'Automation Prepping'!$F$2:'Automation Prepping'!$F$315)</f>
        <v>Y</v>
      </c>
      <c r="F123" t="str" cm="1">
        <f t="array" ref="F123">_xlfn.XLOOKUP(A123,'Automation Prepping'!$A$2:'Automation Prepping'!$A$315, 'Automation Prepping'!$H$2:'Automation Prepping'!$H$315)</f>
        <v>Y</v>
      </c>
      <c r="L123" t="str" cm="1">
        <f t="array" ref="L123">_xlfn.XLOOKUP(A123,'Automation Prepping'!$A$2:'Automation Prepping'!$A$315, 'Automation Prepping'!$I$2:'Automation Prepping'!$I$315)</f>
        <v>https://advance-lexis-com.ezproxy.library.tufts.edu/search/?pdmfid=1516831&amp;crid=a9830040-d1db-43c6-98d6-41f082773eb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emi+OR+Alasuolijarvi+OR+Askanjoki+OR+Jeesiojoki+OR+Juotasjoki+OR+Kemijoki+OR+Kemiyari+OR+Kitinen+OR+Luiro+OR+Luirojoki+OR+Ounasjoki+OR+Porttipahata+Reservoir+OR+Unar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24" spans="1:12" ht="16" x14ac:dyDescent="0.2">
      <c r="A124" s="49" t="s">
        <v>357</v>
      </c>
      <c r="B124" s="49" t="s">
        <v>356</v>
      </c>
      <c r="C124" s="63" t="str" cm="1">
        <f t="array" ref="C124">_xlfn.XLOOKUP(A124,'Automation Prepping'!$A$2:'Automation Prepping'!$A$315, 'Automation Prepping'!$D$2:'Automation Prepping'!$D$315)</f>
        <v>Y (15 July 2022)</v>
      </c>
      <c r="D124" cm="1">
        <f t="array" ref="D124">_xlfn.XLOOKUP(A124,'Automation Prepping'!$A$2:'Automation Prepping'!$A$315, 'Automation Prepping'!$F$2:'Automation Prepping'!$F$315)</f>
        <v>0</v>
      </c>
      <c r="F124" cm="1">
        <f t="array" ref="F124">_xlfn.XLOOKUP(A124,'Automation Prepping'!$A$2:'Automation Prepping'!$A$315, 'Automation Prepping'!$H$2:'Automation Prepping'!$H$315)</f>
        <v>0</v>
      </c>
      <c r="L124" t="str" cm="1">
        <f t="array" ref="L124">_xlfn.XLOOKUP(A124,'Automation Prepping'!$A$2:'Automation Prepping'!$A$315, 'Automation Prepping'!$I$2:'Automation Prepping'!$I$315)</f>
        <v>https://advance-lexis-com.ezproxy.library.tufts.edu/search/?pdmfid=1516831&amp;crid=97f1a821-62ab-4937-a7bc-8c529bd6ecd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ogiln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25" spans="1:12" ht="16" x14ac:dyDescent="0.2">
      <c r="A125" s="49" t="s">
        <v>360</v>
      </c>
      <c r="B125" s="49" t="s">
        <v>361</v>
      </c>
      <c r="C125" s="63" t="str" cm="1">
        <f t="array" ref="C125">_xlfn.XLOOKUP(A125,'Automation Prepping'!$A$2:'Automation Prepping'!$A$315, 'Automation Prepping'!$D$2:'Automation Prepping'!$D$315)</f>
        <v>Y (15 July 2022)</v>
      </c>
      <c r="D125" cm="1">
        <f t="array" ref="D125">_xlfn.XLOOKUP(A125,'Automation Prepping'!$A$2:'Automation Prepping'!$A$315, 'Automation Prepping'!$F$2:'Automation Prepping'!$F$315)</f>
        <v>0</v>
      </c>
      <c r="F125" cm="1">
        <f t="array" ref="F125">_xlfn.XLOOKUP(A125,'Automation Prepping'!$A$2:'Automation Prepping'!$A$315, 'Automation Prepping'!$H$2:'Automation Prepping'!$H$315)</f>
        <v>0</v>
      </c>
      <c r="L125" t="str" cm="1">
        <f t="array" ref="L125">_xlfn.XLOOKUP(A125,'Automation Prepping'!$A$2:'Automation Prepping'!$A$315, 'Automation Prepping'!$I$2:'Automation Prepping'!$I$315)</f>
        <v>https://advance-lexis-com.ezproxy.library.tufts.edu/search/?pdmfid=1516831&amp;crid=9e0cc511-b48c-4ba9-bbbe-8357424f0475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omoe+OR+Bayakokore+OR+Iringou+OR+Leraba-Occidentale+O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26" spans="1:12" ht="16" x14ac:dyDescent="0.2">
      <c r="A126" s="49" t="s">
        <v>363</v>
      </c>
      <c r="B126" s="49" t="s">
        <v>364</v>
      </c>
      <c r="C126" s="63" t="str" cm="1">
        <f t="array" ref="C126">_xlfn.XLOOKUP(A126,'Automation Prepping'!$A$2:'Automation Prepping'!$A$315, 'Automation Prepping'!$D$2:'Automation Prepping'!$D$315)</f>
        <v>Y (15 July 2022)</v>
      </c>
      <c r="D126" t="str" cm="1">
        <f t="array" ref="D126">_xlfn.XLOOKUP(A126,'Automation Prepping'!$A$2:'Automation Prepping'!$A$315, 'Automation Prepping'!$F$2:'Automation Prepping'!$F$315)</f>
        <v>Y</v>
      </c>
      <c r="F126" t="str" cm="1">
        <f t="array" ref="F126">_xlfn.XLOOKUP(A126,'Automation Prepping'!$A$2:'Automation Prepping'!$A$315, 'Automation Prepping'!$H$2:'Automation Prepping'!$H$315)</f>
        <v>Y</v>
      </c>
      <c r="L126" t="str" cm="1">
        <f t="array" ref="L126">_xlfn.XLOOKUP(A126,'Automation Prepping'!$A$2:'Automation Prepping'!$A$315, 'Automation Prepping'!$I$2:'Automation Prepping'!$I$315)</f>
        <v>https://advance-lexis-com.ezproxy.library.tufts.edu/search/?pdmfid=1516831&amp;crid=0b343cbc-e631-4485-b7c3-fdf9e4484380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arnaphuli+OR+Karnaful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27" spans="1:12" ht="16" x14ac:dyDescent="0.2">
      <c r="A127" s="49" t="s">
        <v>366</v>
      </c>
      <c r="B127" s="49" t="s">
        <v>365</v>
      </c>
      <c r="C127" s="63" t="str" cm="1">
        <f t="array" ref="C127">_xlfn.XLOOKUP(A127,'Automation Prepping'!$A$2:'Automation Prepping'!$A$315, 'Automation Prepping'!$D$2:'Automation Prepping'!$D$315)</f>
        <v>N</v>
      </c>
      <c r="D127" t="str" cm="1">
        <f t="array" ref="D127">_xlfn.XLOOKUP(A127,'Automation Prepping'!$A$2:'Automation Prepping'!$A$315, 'Automation Prepping'!$F$2:'Automation Prepping'!$F$315)</f>
        <v>Need Add to 2024</v>
      </c>
      <c r="F127" cm="1">
        <f t="array" ref="F127">_xlfn.XLOOKUP(A127,'Automation Prepping'!$A$2:'Automation Prepping'!$A$315, 'Automation Prepping'!$H$2:'Automation Prepping'!$H$315)</f>
        <v>0</v>
      </c>
      <c r="L127" t="str" cm="1">
        <f t="array" ref="L127">_xlfn.XLOOKUP(A127,'Automation Prepping'!$A$2:'Automation Prepping'!$A$315, 'Automation Prepping'!$I$2:'Automation Prepping'!$I$315)</f>
        <v>No Results</v>
      </c>
    </row>
    <row r="128" spans="1:12" ht="16" x14ac:dyDescent="0.2">
      <c r="A128" s="49" t="s">
        <v>368</v>
      </c>
      <c r="B128" s="49" t="s">
        <v>367</v>
      </c>
      <c r="C128" s="63" t="str" cm="1">
        <f t="array" ref="C128">_xlfn.XLOOKUP(A128,'Automation Prepping'!$A$2:'Automation Prepping'!$A$315, 'Automation Prepping'!$D$2:'Automation Prepping'!$D$315)</f>
        <v>Y (15 July 2022)</v>
      </c>
      <c r="D128" t="str" cm="1">
        <f t="array" ref="D128">_xlfn.XLOOKUP(A128,'Automation Prepping'!$A$2:'Automation Prepping'!$A$315, 'Automation Prepping'!$F$2:'Automation Prepping'!$F$315)</f>
        <v>Y</v>
      </c>
      <c r="F128" t="str" cm="1">
        <f t="array" ref="F128">_xlfn.XLOOKUP(A128,'Automation Prepping'!$A$2:'Automation Prepping'!$A$315, 'Automation Prepping'!$H$2:'Automation Prepping'!$H$315)</f>
        <v>Y</v>
      </c>
      <c r="L128" t="str" cm="1">
        <f t="array" ref="L128">_xlfn.XLOOKUP(A128,'Automation Prepping'!$A$2:'Automation Prepping'!$A$315, 'Automation Prepping'!$I$2:'Automation Prepping'!$I$315)</f>
        <v>https://advance-lexis-com.ezproxy.library.tufts.edu/search/?pdmfid=1516831&amp;crid=7c165d40-0659-4234-8a0f-83bd964e654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r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29" spans="1:12" ht="16" x14ac:dyDescent="0.2">
      <c r="A129" s="49" t="s">
        <v>370</v>
      </c>
      <c r="B129" s="49" t="s">
        <v>371</v>
      </c>
      <c r="C129" s="63" t="str" cm="1">
        <f t="array" ref="C129">_xlfn.XLOOKUP(A129,'Automation Prepping'!$A$2:'Automation Prepping'!$A$315, 'Automation Prepping'!$D$2:'Automation Prepping'!$D$315)</f>
        <v>Y (15 July 2022)</v>
      </c>
      <c r="D129" cm="1">
        <f t="array" ref="D129">_xlfn.XLOOKUP(A129,'Automation Prepping'!$A$2:'Automation Prepping'!$A$315, 'Automation Prepping'!$F$2:'Automation Prepping'!$F$315)</f>
        <v>0</v>
      </c>
      <c r="F129" cm="1">
        <f t="array" ref="F129">_xlfn.XLOOKUP(A129,'Automation Prepping'!$A$2:'Automation Prepping'!$A$315, 'Automation Prepping'!$H$2:'Automation Prepping'!$H$315)</f>
        <v>0</v>
      </c>
      <c r="L129" t="str" cm="1">
        <f t="array" ref="L129">_xlfn.XLOOKUP(A129,'Automation Prepping'!$A$2:'Automation Prepping'!$A$315, 'Automation Prepping'!$I$2:'Automation Prepping'!$I$315)</f>
        <v>https://advance-lexis-com.ezproxy.library.tufts.edu/search/?pdmfid=1516831&amp;crid=9f1573f3-ef4a-43f9-b470-d21048568cb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laralven+OR+Lettan+OR+Ore+alv)+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30" spans="1:12" ht="16" x14ac:dyDescent="0.2">
      <c r="A130" s="49" t="s">
        <v>373</v>
      </c>
      <c r="B130" s="49" t="s">
        <v>374</v>
      </c>
      <c r="C130" s="63" t="str" cm="1">
        <f t="array" ref="C130">_xlfn.XLOOKUP(A130,'Automation Prepping'!$A$2:'Automation Prepping'!$A$315, 'Automation Prepping'!$D$2:'Automation Prepping'!$D$315)</f>
        <v>Y (15 July 2022)</v>
      </c>
      <c r="D130" t="str" cm="1">
        <f t="array" ref="D130">_xlfn.XLOOKUP(A130,'Automation Prepping'!$A$2:'Automation Prepping'!$A$315, 'Automation Prepping'!$F$2:'Automation Prepping'!$F$315)</f>
        <v>Y</v>
      </c>
      <c r="F130" t="str" cm="1">
        <f t="array" ref="F130">_xlfn.XLOOKUP(A130,'Automation Prepping'!$A$2:'Automation Prepping'!$A$315, 'Automation Prepping'!$H$2:'Automation Prepping'!$H$315)</f>
        <v>Y</v>
      </c>
      <c r="L130" t="str" cm="1">
        <f t="array" ref="L130">_xlfn.XLOOKUP(A130,'Automation Prepping'!$A$2:'Automation Prepping'!$A$315, 'Automation Prepping'!$I$2:'Automation Prepping'!$I$315)</f>
        <v>https://advance-lexis-com.ezproxy.library.tufts.edu/search/?pdmfid=1516831&amp;crid=589c068f-0964-457b-a19b-66a8b4bb1d50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unene+OR+Cunene+OR+Caculuva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31" spans="1:12" ht="16" x14ac:dyDescent="0.2">
      <c r="A131" s="49" t="s">
        <v>376</v>
      </c>
      <c r="B131" s="49" t="s">
        <v>377</v>
      </c>
      <c r="C131" s="63" t="str" cm="1">
        <f t="array" ref="C131">_xlfn.XLOOKUP(A131,'Automation Prepping'!$A$2:'Automation Prepping'!$A$315, 'Automation Prepping'!$D$2:'Automation Prepping'!$D$315)</f>
        <v>N</v>
      </c>
      <c r="D131" t="str" cm="1">
        <f t="array" ref="D131">_xlfn.XLOOKUP(A131,'Automation Prepping'!$A$2:'Automation Prepping'!$A$315, 'Automation Prepping'!$F$2:'Automation Prepping'!$F$315)</f>
        <v>Need Add to 2024</v>
      </c>
      <c r="F131" cm="1">
        <f t="array" ref="F131">_xlfn.XLOOKUP(A131,'Automation Prepping'!$A$2:'Automation Prepping'!$A$315, 'Automation Prepping'!$H$2:'Automation Prepping'!$H$315)</f>
        <v>0</v>
      </c>
      <c r="I131" t="s">
        <v>1448</v>
      </c>
      <c r="L131" t="str" cm="1">
        <f t="array" ref="L131">_xlfn.XLOOKUP(A131,'Automation Prepping'!$A$2:'Automation Prepping'!$A$315, 'Automation Prepping'!$I$2:'Automation Prepping'!$I$315)</f>
        <v>https://advance-lexis-com.ezproxy.library.tufts.edu/search/?pdmfid=1516831&amp;crid=c0ef51f4-ad4e-45e5-a38a-ef42e16a6850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Kura+OR+Araks+OR+Azat+OR+Lori+OR+Mingacevir+Reservior+OR+Aragvi+OR+Iori+OR+Khrami+OR+Ahar+OR+Ajy+Chay+OR+Aras+OR+Qare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132" spans="1:12" ht="16" x14ac:dyDescent="0.2">
      <c r="A132" s="49" t="s">
        <v>379</v>
      </c>
      <c r="B132" s="49" t="s">
        <v>380</v>
      </c>
      <c r="C132" s="63" t="str" cm="1">
        <f t="array" ref="C132">_xlfn.XLOOKUP(A132,'Automation Prepping'!$A$2:'Automation Prepping'!$A$315, 'Automation Prepping'!$D$2:'Automation Prepping'!$D$315)</f>
        <v>Y (15 July 2022)</v>
      </c>
      <c r="D132" t="str" cm="1">
        <f t="array" ref="D132">_xlfn.XLOOKUP(A132,'Automation Prepping'!$A$2:'Automation Prepping'!$A$315, 'Automation Prepping'!$F$2:'Automation Prepping'!$F$315)</f>
        <v>Y</v>
      </c>
      <c r="F132" t="str" cm="1">
        <f t="array" ref="F132">_xlfn.XLOOKUP(A132,'Automation Prepping'!$A$2:'Automation Prepping'!$A$315, 'Automation Prepping'!$H$2:'Automation Prepping'!$H$315)</f>
        <v>Y</v>
      </c>
      <c r="L132" t="str" cm="1">
        <f t="array" ref="L132">_xlfn.XLOOKUP(A132,'Automation Prepping'!$A$2:'Automation Prepping'!$A$315, 'Automation Prepping'!$I$2:'Automation Prepping'!$I$315)</f>
        <v>https://advance-lexis-com.ezproxy.library.tufts.edu/search/?pdmfid=1516831&amp;crid=579dddea-20ca-43a3-a5f6-13e9468309e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va+OR+Prege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33" spans="1:12" ht="16" x14ac:dyDescent="0.2">
      <c r="A133" s="49" t="s">
        <v>382</v>
      </c>
      <c r="B133" s="49" t="s">
        <v>381</v>
      </c>
      <c r="C133" s="63" t="str" cm="1">
        <f t="array" ref="C133">_xlfn.XLOOKUP(A133,'Automation Prepping'!$A$2:'Automation Prepping'!$A$315, 'Automation Prepping'!$D$2:'Automation Prepping'!$D$315)</f>
        <v>Y (15 July 2022)</v>
      </c>
      <c r="D133" cm="1">
        <f t="array" ref="D133">_xlfn.XLOOKUP(A133,'Automation Prepping'!$A$2:'Automation Prepping'!$A$315, 'Automation Prepping'!$F$2:'Automation Prepping'!$F$315)</f>
        <v>0</v>
      </c>
      <c r="F133" cm="1">
        <f t="array" ref="F133">_xlfn.XLOOKUP(A133,'Automation Prepping'!$A$2:'Automation Prepping'!$A$315, 'Automation Prepping'!$H$2:'Automation Prepping'!$H$315)</f>
        <v>0</v>
      </c>
      <c r="L133" t="str" cm="1">
        <f t="array" ref="L133">_xlfn.XLOOKUP(A133,'Automation Prepping'!$A$2:'Automation Prepping'!$A$315, 'Automation Prepping'!$I$2:'Automation Prepping'!$I$315)</f>
        <v>https://advance-lexis-com.ezproxy.library.tufts.edu/search/?pdmfid=1516831&amp;crid=c0b6ac03-0c1d-43b1-9102-c07c328ad7a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guna+Filare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34" spans="1:12" ht="16" x14ac:dyDescent="0.2">
      <c r="A134" s="49" t="s">
        <v>384</v>
      </c>
      <c r="B134" s="49" t="s">
        <v>383</v>
      </c>
      <c r="C134" s="63" t="str" cm="1">
        <f t="array" ref="C134">_xlfn.XLOOKUP(A134,'Automation Prepping'!$A$2:'Automation Prepping'!$A$315, 'Automation Prepping'!$D$2:'Automation Prepping'!$D$315)</f>
        <v>N</v>
      </c>
      <c r="D134" cm="1">
        <f t="array" ref="D134">_xlfn.XLOOKUP(A134,'Automation Prepping'!$A$2:'Automation Prepping'!$A$315, 'Automation Prepping'!$F$2:'Automation Prepping'!$F$315)</f>
        <v>0</v>
      </c>
      <c r="F134" cm="1">
        <f t="array" ref="F134">_xlfn.XLOOKUP(A134,'Automation Prepping'!$A$2:'Automation Prepping'!$A$315, 'Automation Prepping'!$H$2:'Automation Prepping'!$H$315)</f>
        <v>0</v>
      </c>
      <c r="L134" t="str" cm="1">
        <f t="array" ref="L134">_xlfn.XLOOKUP(A134,'Automation Prepping'!$A$2:'Automation Prepping'!$A$315, 'Automation Prepping'!$I$2:'Automation Prepping'!$I$315)</f>
        <v>No Results</v>
      </c>
    </row>
    <row r="135" spans="1:12" ht="16" x14ac:dyDescent="0.2">
      <c r="A135" s="49" t="s">
        <v>386</v>
      </c>
      <c r="B135" s="49" t="s">
        <v>387</v>
      </c>
      <c r="C135" s="63" t="str" cm="1">
        <f t="array" ref="C135">_xlfn.XLOOKUP(A135,'Automation Prepping'!$A$2:'Automation Prepping'!$A$315, 'Automation Prepping'!$D$2:'Automation Prepping'!$D$315)</f>
        <v>N</v>
      </c>
      <c r="D135" t="str" cm="1">
        <f t="array" ref="D135">_xlfn.XLOOKUP(A135,'Automation Prepping'!$A$2:'Automation Prepping'!$A$315, 'Automation Prepping'!$F$2:'Automation Prepping'!$F$315)</f>
        <v>Y</v>
      </c>
      <c r="F135" cm="1">
        <f t="array" ref="F135">_xlfn.XLOOKUP(A135,'Automation Prepping'!$A$2:'Automation Prepping'!$A$315, 'Automation Prepping'!$H$2:'Automation Prepping'!$H$315)</f>
        <v>0</v>
      </c>
      <c r="L135" cm="1">
        <f t="array" ref="L135">_xlfn.XLOOKUP(A135,'Automation Prepping'!$A$2:'Automation Prepping'!$A$315, 'Automation Prepping'!$I$2:'Automation Prepping'!$I$315)</f>
        <v>0</v>
      </c>
    </row>
    <row r="136" spans="1:12" ht="16" x14ac:dyDescent="0.2">
      <c r="A136" s="49" t="s">
        <v>389</v>
      </c>
      <c r="B136" s="49" t="s">
        <v>388</v>
      </c>
      <c r="C136" s="63" t="str" cm="1">
        <f t="array" ref="C136">_xlfn.XLOOKUP(A136,'Automation Prepping'!$A$2:'Automation Prepping'!$A$315, 'Automation Prepping'!$D$2:'Automation Prepping'!$D$315)</f>
        <v>N</v>
      </c>
      <c r="D136" t="str" cm="1">
        <f t="array" ref="D136">_xlfn.XLOOKUP(A136,'Automation Prepping'!$A$2:'Automation Prepping'!$A$315, 'Automation Prepping'!$F$2:'Automation Prepping'!$F$315)</f>
        <v>Y</v>
      </c>
      <c r="F136" cm="1">
        <f t="array" ref="F136">_xlfn.XLOOKUP(A136,'Automation Prepping'!$A$2:'Automation Prepping'!$A$315, 'Automation Prepping'!$H$2:'Automation Prepping'!$H$315)</f>
        <v>0</v>
      </c>
      <c r="I136" t="s">
        <v>1448</v>
      </c>
      <c r="L136" t="str" cm="1">
        <f t="array" ref="L136">_xlfn.XLOOKUP(A136,'Automation Prepping'!$A$2:'Automation Prepping'!$A$315, 'Automation Prepping'!$I$2:'Automation Prepping'!$I$315)</f>
        <v>https://advance-lexis-com.ezproxy.library.tufts.edu/search/?pdmfid=1516831&amp;crid=7989030f-f83f-4a2e-ac95-c2f7c1ed1ac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Azue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07b1738-8278-4e7c-aa0b-94b3e27fedbe</v>
      </c>
    </row>
    <row r="137" spans="1:12" ht="16" x14ac:dyDescent="0.2">
      <c r="A137" s="49" t="s">
        <v>391</v>
      </c>
      <c r="B137" s="49" t="s">
        <v>392</v>
      </c>
      <c r="C137" s="63" t="str" cm="1">
        <f t="array" ref="C137">_xlfn.XLOOKUP(A137,'Automation Prepping'!$A$2:'Automation Prepping'!$A$315, 'Automation Prepping'!$D$2:'Automation Prepping'!$D$315)</f>
        <v>N</v>
      </c>
      <c r="D137" t="str" cm="1">
        <f t="array" ref="D137">_xlfn.XLOOKUP(A137,'Automation Prepping'!$A$2:'Automation Prepping'!$A$315, 'Automation Prepping'!$F$2:'Automation Prepping'!$F$315)</f>
        <v>Need Add to 2024</v>
      </c>
      <c r="F137" cm="1">
        <f t="array" ref="F137">_xlfn.XLOOKUP(A137,'Automation Prepping'!$A$2:'Automation Prepping'!$A$315, 'Automation Prepping'!$H$2:'Automation Prepping'!$H$315)</f>
        <v>0</v>
      </c>
      <c r="I137" t="s">
        <v>1448</v>
      </c>
      <c r="L137" t="str" cm="1">
        <f t="array" ref="L137">_xlfn.XLOOKUP(A137,'Automation Prepping'!$A$2:'Automation Prepping'!$A$315, 'Automation Prepping'!$I$2:'Automation Prepping'!$I$315)</f>
        <v>https://advance-lexis-com.ezproxy.library.tufts.edu/search/?pdmfid=1516831&amp;crid=ad300935-37ab-488a-aef9-d58481828678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Chad+OR+Bamingui+OR+Bangoran+OR+Bongoul+OR+Goro+OR+Gribingui+OR+Kamear+OR+Manovo+OR+Ouandja+OR+Ouham+OR+Oulou+OR+Pende+OR+Vakaga+OR+Vassako+OR+Yata+OR+Dillia+OR+Tegouma+OR+Kano+OR+Katagum+OR+Komadugu+Gana+OR+Ngadda+OR+Yedseram+OR+Wadi+Tiwal+OR+Ba+illi+OR+Bahr+Aoak+OR+Bahr+Azourn+OR+Bahr+el+Ghazal+OR+Soro+OR+Bahr+Ergig+OR+Bahr+Keita+OR+Doka+OR+Bahr+Salamat+OR+Chari+OR+Logo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138" spans="1:12" ht="16" x14ac:dyDescent="0.2">
      <c r="A138" s="49" t="s">
        <v>394</v>
      </c>
      <c r="B138" s="49" t="s">
        <v>393</v>
      </c>
      <c r="C138" s="63" t="str" cm="1">
        <f t="array" ref="C138">_xlfn.XLOOKUP(A138,'Automation Prepping'!$A$2:'Automation Prepping'!$A$315, 'Automation Prepping'!$D$2:'Automation Prepping'!$D$315)</f>
        <v>Y (15 July 2022)</v>
      </c>
      <c r="D138" t="str" cm="1">
        <f t="array" ref="D138">_xlfn.XLOOKUP(A138,'Automation Prepping'!$A$2:'Automation Prepping'!$A$315, 'Automation Prepping'!$F$2:'Automation Prepping'!$F$315)</f>
        <v>Y</v>
      </c>
      <c r="F138" t="str" cm="1">
        <f t="array" ref="F138">_xlfn.XLOOKUP(A138,'Automation Prepping'!$A$2:'Automation Prepping'!$A$315, 'Automation Prepping'!$H$2:'Automation Prepping'!$H$315)</f>
        <v>Y</v>
      </c>
      <c r="L138" t="str" cm="1">
        <f t="array" ref="L138">_xlfn.XLOOKUP(A138,'Automation Prepping'!$A$2:'Automation Prepping'!$A$315, 'Automation Prepping'!$I$2:'Automation Prepping'!$I$315)</f>
        <v>https://advance-lexis-com.ezproxy.library.tufts.edu/search/?pdmfid=1516831&amp;crid=e1f32c47-f022-49bf-b5e0-d4f96c8a794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Chilw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39" spans="1:12" ht="16" x14ac:dyDescent="0.2">
      <c r="A139" s="49" t="s">
        <v>396</v>
      </c>
      <c r="B139" s="49" t="s">
        <v>395</v>
      </c>
      <c r="C139" s="63" t="str" cm="1">
        <f t="array" ref="C139">_xlfn.XLOOKUP(A139,'Automation Prepping'!$A$2:'Automation Prepping'!$A$315, 'Automation Prepping'!$D$2:'Automation Prepping'!$D$315)</f>
        <v>N</v>
      </c>
      <c r="D139" t="str" cm="1">
        <f t="array" ref="D139">_xlfn.XLOOKUP(A139,'Automation Prepping'!$A$2:'Automation Prepping'!$A$315, 'Automation Prepping'!$F$2:'Automation Prepping'!$F$315)</f>
        <v>Y</v>
      </c>
      <c r="F139" t="str" cm="1">
        <f t="array" ref="F139">_xlfn.XLOOKUP(A139,'Automation Prepping'!$A$2:'Automation Prepping'!$A$315, 'Automation Prepping'!$H$2:'Automation Prepping'!$H$315)</f>
        <v>Y</v>
      </c>
      <c r="I139" t="s">
        <v>1448</v>
      </c>
      <c r="L139" t="str" cm="1">
        <f t="array" ref="L139">_xlfn.XLOOKUP(A139,'Automation Prepping'!$A$2:'Automation Prepping'!$A$315, 'Automation Prepping'!$I$2:'Automation Prepping'!$I$315)</f>
        <v>https://advance-lexis-com.ezproxy.library.tufts.edu/search/?pdmfid=1516831&amp;crid=bbc1ca4c-226e-4f87-9467-0686d4c778a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Cay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c56d6623-ee53-4b67-8ffa-a33271ef8ac9</v>
      </c>
    </row>
    <row r="140" spans="1:12" ht="16" x14ac:dyDescent="0.2">
      <c r="A140" s="49" t="s">
        <v>398</v>
      </c>
      <c r="B140" s="49" t="s">
        <v>397</v>
      </c>
      <c r="C140" s="63" t="str" cm="1">
        <f t="array" ref="C140">_xlfn.XLOOKUP(A140,'Automation Prepping'!$A$2:'Automation Prepping'!$A$315, 'Automation Prepping'!$D$2:'Automation Prepping'!$D$315)</f>
        <v>Y (15 July 2022)</v>
      </c>
      <c r="D140" cm="1">
        <f t="array" ref="D140">_xlfn.XLOOKUP(A140,'Automation Prepping'!$A$2:'Automation Prepping'!$A$315, 'Automation Prepping'!$F$2:'Automation Prepping'!$F$315)</f>
        <v>0</v>
      </c>
      <c r="F140" cm="1">
        <f t="array" ref="F140">_xlfn.XLOOKUP(A140,'Automation Prepping'!$A$2:'Automation Prepping'!$A$315, 'Automation Prepping'!$H$2:'Automation Prepping'!$H$315)</f>
        <v>0</v>
      </c>
      <c r="L140" t="str" cm="1">
        <f t="array" ref="L140">_xlfn.XLOOKUP(A140,'Automation Prepping'!$A$2:'Automation Prepping'!$A$315, 'Automation Prepping'!$I$2:'Automation Prepping'!$I$315)</f>
        <v>https://advance-lexis-com.ezproxy.library.tufts.edu/search/?pdmfid=1516831&amp;crid=86b1ddd1-6732-4cd0-a1f2-022c3876b9b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De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41" spans="1:12" ht="16" x14ac:dyDescent="0.2">
      <c r="A141" s="49" t="s">
        <v>400</v>
      </c>
      <c r="B141" s="49" t="s">
        <v>399</v>
      </c>
      <c r="C141" s="63" t="str" cm="1">
        <f t="array" ref="C141">_xlfn.XLOOKUP(A141,'Automation Prepping'!$A$2:'Automation Prepping'!$A$315, 'Automation Prepping'!$D$2:'Automation Prepping'!$D$315)</f>
        <v>N</v>
      </c>
      <c r="D141" t="str" cm="1">
        <f t="array" ref="D141">_xlfn.XLOOKUP(A141,'Automation Prepping'!$A$2:'Automation Prepping'!$A$315, 'Automation Prepping'!$F$2:'Automation Prepping'!$F$315)</f>
        <v>Y</v>
      </c>
      <c r="F141" cm="1">
        <f t="array" ref="F141">_xlfn.XLOOKUP(A141,'Automation Prepping'!$A$2:'Automation Prepping'!$A$315, 'Automation Prepping'!$H$2:'Automation Prepping'!$H$315)</f>
        <v>0</v>
      </c>
      <c r="L141" cm="1">
        <f t="array" ref="L141">_xlfn.XLOOKUP(A141,'Automation Prepping'!$A$2:'Automation Prepping'!$A$315, 'Automation Prepping'!$I$2:'Automation Prepping'!$I$315)</f>
        <v>0</v>
      </c>
    </row>
    <row r="142" spans="1:12" ht="16" x14ac:dyDescent="0.2">
      <c r="A142" s="49" t="s">
        <v>402</v>
      </c>
      <c r="B142" s="49" t="s">
        <v>401</v>
      </c>
      <c r="C142" s="63" t="str" cm="1">
        <f t="array" ref="C142">_xlfn.XLOOKUP(A142,'Automation Prepping'!$A$2:'Automation Prepping'!$A$315, 'Automation Prepping'!$D$2:'Automation Prepping'!$D$315)</f>
        <v>N</v>
      </c>
      <c r="D142" t="str" cm="1">
        <f t="array" ref="D142">_xlfn.XLOOKUP(A142,'Automation Prepping'!$A$2:'Automation Prepping'!$A$315, 'Automation Prepping'!$F$2:'Automation Prepping'!$F$315)</f>
        <v>Y</v>
      </c>
      <c r="F142" cm="1">
        <f t="array" ref="F142">_xlfn.XLOOKUP(A142,'Automation Prepping'!$A$2:'Automation Prepping'!$A$315, 'Automation Prepping'!$H$2:'Automation Prepping'!$H$315)</f>
        <v>0</v>
      </c>
      <c r="I142" t="s">
        <v>1448</v>
      </c>
      <c r="L142" t="str" cm="1">
        <f t="array" ref="L142">_xlfn.XLOOKUP(A142,'Automation Prepping'!$A$2:'Automation Prepping'!$A$315, 'Automation Prepping'!$I$2:'Automation Prepping'!$I$315)</f>
        <v>https://advance-lexis-com.ezproxy.library.tufts.edu/search/?pdmfid=1516831&amp;crid=8628251c-18dc-4ae8-9718-5cd95bad4f3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Fagna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07b1738-8278-4e7c-aa0b-94b3e27fedbe</v>
      </c>
    </row>
    <row r="143" spans="1:12" ht="16" x14ac:dyDescent="0.2">
      <c r="A143" s="49" t="s">
        <v>404</v>
      </c>
      <c r="B143" s="49" t="s">
        <v>405</v>
      </c>
      <c r="C143" s="63" t="str" cm="1">
        <f t="array" ref="C143">_xlfn.XLOOKUP(A143,'Automation Prepping'!$A$2:'Automation Prepping'!$A$315, 'Automation Prepping'!$D$2:'Automation Prepping'!$D$315)</f>
        <v>N</v>
      </c>
      <c r="D143" t="str" cm="1">
        <f t="array" ref="D143">_xlfn.XLOOKUP(A143,'Automation Prepping'!$A$2:'Automation Prepping'!$A$315, 'Automation Prepping'!$F$2:'Automation Prepping'!$F$315)</f>
        <v>Need Add to 2024</v>
      </c>
      <c r="F143" cm="1">
        <f t="array" ref="F143">_xlfn.XLOOKUP(A143,'Automation Prepping'!$A$2:'Automation Prepping'!$A$315, 'Automation Prepping'!$H$2:'Automation Prepping'!$H$315)</f>
        <v>0</v>
      </c>
      <c r="I143" t="s">
        <v>1448</v>
      </c>
      <c r="L143" t="str" cm="1">
        <f t="array" ref="L143">_xlfn.XLOOKUP(A143,'Automation Prepping'!$A$2:'Automation Prepping'!$A$315, 'Automation Prepping'!$I$2:'Automation Prepping'!$I$315)</f>
        <v>https://advance-lexis-com.ezproxy.library.tufts.edu/search/?pdmfid=1516831&amp;crid=1fb50ed1-dba8-464e-bb1a-8cdd8f122d01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Natron+OR+Ewaso+Ng%27i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144" spans="1:12" ht="16" x14ac:dyDescent="0.2">
      <c r="A144" s="49" t="s">
        <v>407</v>
      </c>
      <c r="B144" s="49" t="s">
        <v>408</v>
      </c>
      <c r="C144" s="63" t="str" cm="1">
        <f t="array" ref="C144">_xlfn.XLOOKUP(A144,'Automation Prepping'!$A$2:'Automation Prepping'!$A$315, 'Automation Prepping'!$D$2:'Automation Prepping'!$D$315)</f>
        <v>N</v>
      </c>
      <c r="D144" t="str" cm="1">
        <f t="array" ref="D144">_xlfn.XLOOKUP(A144,'Automation Prepping'!$A$2:'Automation Prepping'!$A$315, 'Automation Prepping'!$F$2:'Automation Prepping'!$F$315)</f>
        <v>Y</v>
      </c>
      <c r="F144" t="str" cm="1">
        <f t="array" ref="F144">_xlfn.XLOOKUP(A144,'Automation Prepping'!$A$2:'Automation Prepping'!$A$315, 'Automation Prepping'!$H$2:'Automation Prepping'!$H$315)</f>
        <v>Y</v>
      </c>
      <c r="I144" t="s">
        <v>1448</v>
      </c>
      <c r="L144" t="str" cm="1">
        <f t="array" ref="L144">_xlfn.XLOOKUP(A144,'Automation Prepping'!$A$2:'Automation Prepping'!$A$315, 'Automation Prepping'!$I$2:'Automation Prepping'!$I$315)</f>
        <v>https://advance-lexis-com.ezproxy.library.tufts.edu/search/?pdmfid=1516831&amp;crid=9ef6968b-6c03-4728-87da-7e4549cf175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Prespa+OR+Frankovishte+OR+Grabovice+OR+Grunjas+OR+Hyle+OR+Jame+OR+Mujaz+OR+P.pusave+OR+Plloce+OR+Stropske+OR+Vakef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fe8ec578-ce27-40aa-bce7-5ca9fedf00c0</v>
      </c>
    </row>
    <row r="145" spans="1:12" ht="16" x14ac:dyDescent="0.2">
      <c r="A145" s="49" t="s">
        <v>410</v>
      </c>
      <c r="B145" s="49" t="s">
        <v>409</v>
      </c>
      <c r="C145" s="63" t="str" cm="1">
        <f t="array" ref="C145">_xlfn.XLOOKUP(A145,'Automation Prepping'!$A$2:'Automation Prepping'!$A$315, 'Automation Prepping'!$D$2:'Automation Prepping'!$D$315)</f>
        <v>Y (15 July 2022)</v>
      </c>
      <c r="D145" t="str" cm="1">
        <f t="array" ref="D145">_xlfn.XLOOKUP(A145,'Automation Prepping'!$A$2:'Automation Prepping'!$A$315, 'Automation Prepping'!$F$2:'Automation Prepping'!$F$315)</f>
        <v>Y</v>
      </c>
      <c r="F145" t="str" cm="1">
        <f t="array" ref="F145">_xlfn.XLOOKUP(A145,'Automation Prepping'!$A$2:'Automation Prepping'!$A$315, 'Automation Prepping'!$H$2:'Automation Prepping'!$H$315)</f>
        <v>Y</v>
      </c>
      <c r="L145" t="str" cm="1">
        <f t="array" ref="L145">_xlfn.XLOOKUP(A145,'Automation Prepping'!$A$2:'Automation Prepping'!$A$315, 'Automation Prepping'!$I$2:'Automation Prepping'!$I$315)</f>
        <v>https://advance-lexis-com.ezproxy.library.tufts.edu/search/?pdmfid=1516831&amp;crid=3273a709-8340-4666-b68d-bb5069d15f85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Rukw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46" spans="1:12" ht="16" x14ac:dyDescent="0.2">
      <c r="A146" s="49" t="s">
        <v>412</v>
      </c>
      <c r="B146" s="49" t="s">
        <v>411</v>
      </c>
      <c r="C146" s="63" t="str" cm="1">
        <f t="array" ref="C146">_xlfn.XLOOKUP(A146,'Automation Prepping'!$A$2:'Automation Prepping'!$A$315, 'Automation Prepping'!$D$2:'Automation Prepping'!$D$315)</f>
        <v>N</v>
      </c>
      <c r="D146" cm="1">
        <f t="array" ref="D146">_xlfn.XLOOKUP(A146,'Automation Prepping'!$A$2:'Automation Prepping'!$A$315, 'Automation Prepping'!$F$2:'Automation Prepping'!$F$315)</f>
        <v>0</v>
      </c>
      <c r="F146" cm="1">
        <f t="array" ref="F146">_xlfn.XLOOKUP(A146,'Automation Prepping'!$A$2:'Automation Prepping'!$A$315, 'Automation Prepping'!$H$2:'Automation Prepping'!$H$315)</f>
        <v>0</v>
      </c>
      <c r="L146" t="str" cm="1">
        <f t="array" ref="L146">_xlfn.XLOOKUP(A146,'Automation Prepping'!$A$2:'Automation Prepping'!$A$315, 'Automation Prepping'!$I$2:'Automation Prepping'!$I$315)</f>
        <v>No Results</v>
      </c>
    </row>
    <row r="147" spans="1:12" ht="32" x14ac:dyDescent="0.2">
      <c r="A147" s="49" t="s">
        <v>414</v>
      </c>
      <c r="B147" s="49" t="s">
        <v>415</v>
      </c>
      <c r="C147" s="63" t="str" cm="1">
        <f t="array" ref="C147">_xlfn.XLOOKUP(A147,'Automation Prepping'!$A$2:'Automation Prepping'!$A$315, 'Automation Prepping'!$D$2:'Automation Prepping'!$D$315)</f>
        <v>Y (15 July 2022)</v>
      </c>
      <c r="D147" cm="1">
        <f t="array" ref="D147">_xlfn.XLOOKUP(A147,'Automation Prepping'!$A$2:'Automation Prepping'!$A$315, 'Automation Prepping'!$F$2:'Automation Prepping'!$F$315)</f>
        <v>0</v>
      </c>
      <c r="F147" cm="1">
        <f t="array" ref="F147">_xlfn.XLOOKUP(A147,'Automation Prepping'!$A$2:'Automation Prepping'!$A$315, 'Automation Prepping'!$H$2:'Automation Prepping'!$H$315)</f>
        <v>0</v>
      </c>
      <c r="L147" t="str" cm="1">
        <f t="array" ref="L147">_xlfn.XLOOKUP(A147,'Automation Prepping'!$A$2:'Automation Prepping'!$A$315, 'Automation Prepping'!$I$2:'Automation Prepping'!$I$315)</f>
        <v>https://advance-lexis-com.ezproxy.library.tufts.edu/search/?pdmfid=1516831&amp;crid=4fe458ec-c16e-4b12-956e-ac3394d37c65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Titicaca+Poopo+OR+Lagoon+Arap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48" spans="1:12" ht="16" x14ac:dyDescent="0.2">
      <c r="A148" s="49" t="s">
        <v>417</v>
      </c>
      <c r="B148" s="49" t="s">
        <v>418</v>
      </c>
      <c r="C148" s="63" t="str" cm="1">
        <f t="array" ref="C148">_xlfn.XLOOKUP(A148,'Automation Prepping'!$A$2:'Automation Prepping'!$A$315, 'Automation Prepping'!$D$2:'Automation Prepping'!$D$315)</f>
        <v>Y (15 July 2022)</v>
      </c>
      <c r="D148" t="str" cm="1">
        <f t="array" ref="D148">_xlfn.XLOOKUP(A148,'Automation Prepping'!$A$2:'Automation Prepping'!$A$315, 'Automation Prepping'!$F$2:'Automation Prepping'!$F$315)</f>
        <v>Y</v>
      </c>
      <c r="F148" t="str" cm="1">
        <f t="array" ref="F148">_xlfn.XLOOKUP(A148,'Automation Prepping'!$A$2:'Automation Prepping'!$A$315, 'Automation Prepping'!$H$2:'Automation Prepping'!$H$315)</f>
        <v>Y</v>
      </c>
      <c r="L148" t="str" cm="1">
        <f t="array" ref="L148">_xlfn.XLOOKUP(A148,'Automation Prepping'!$A$2:'Automation Prepping'!$A$315, 'Automation Prepping'!$I$2:'Automation Prepping'!$I$315)</f>
        <v>https://advance-lexis-com.ezproxy.library.tufts.edu/search/?pdmfid=1516831&amp;crid=fe60c784-0c37-44fa-8d5f-4699285769b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Turkana+OR+Ch%27eq+bahr+OR+Gojeb+OR+Omo+OR+Ferguson%27s+Gulf+OR+Lotagipi+Swamp+OR+Turkwe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49" spans="1:12" ht="16" x14ac:dyDescent="0.2">
      <c r="A149" s="49" t="s">
        <v>420</v>
      </c>
      <c r="B149" s="49" t="s">
        <v>421</v>
      </c>
      <c r="C149" s="63" t="str" cm="1">
        <f t="array" ref="C149">_xlfn.XLOOKUP(A149,'Automation Prepping'!$A$2:'Automation Prepping'!$A$315, 'Automation Prepping'!$D$2:'Automation Prepping'!$D$315)</f>
        <v>N</v>
      </c>
      <c r="D149" t="str" cm="1">
        <f t="array" ref="D149">_xlfn.XLOOKUP(A149,'Automation Prepping'!$A$2:'Automation Prepping'!$A$315, 'Automation Prepping'!$F$2:'Automation Prepping'!$F$315)</f>
        <v>Y</v>
      </c>
      <c r="F149" cm="1">
        <f t="array" ref="F149">_xlfn.XLOOKUP(A149,'Automation Prepping'!$A$2:'Automation Prepping'!$A$315, 'Automation Prepping'!$H$2:'Automation Prepping'!$H$315)</f>
        <v>0</v>
      </c>
      <c r="I149" t="s">
        <v>1448</v>
      </c>
      <c r="L149" t="str" cm="1">
        <f t="array" ref="L149">_xlfn.XLOOKUP(A149,'Automation Prepping'!$A$2:'Automation Prepping'!$A$315, 'Automation Prepping'!$I$2:'Automation Prepping'!$I$315)</f>
        <v>https://advance-lexis-com.ezproxy.library.tufts.edu/search/?pdmfid=1516831&amp;crid=94cdf160-0dd4-4f1e-aabd-e15243f7be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Ubsa+OR+Nu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07b1738-8278-4e7c-aa0b-94b3e27fedbe</v>
      </c>
    </row>
    <row r="150" spans="1:12" ht="16" x14ac:dyDescent="0.2">
      <c r="A150" s="49" t="s">
        <v>423</v>
      </c>
      <c r="B150" s="49" t="s">
        <v>424</v>
      </c>
      <c r="C150" s="63" t="str" cm="1">
        <f t="array" ref="C150">_xlfn.XLOOKUP(A150,'Automation Prepping'!$A$2:'Automation Prepping'!$A$315, 'Automation Prepping'!$D$2:'Automation Prepping'!$D$315)</f>
        <v>Y (15 July 2022)</v>
      </c>
      <c r="D150" t="str" cm="1">
        <f t="array" ref="D150">_xlfn.XLOOKUP(A150,'Automation Prepping'!$A$2:'Automation Prepping'!$A$315, 'Automation Prepping'!$F$2:'Automation Prepping'!$F$315)</f>
        <v>Y</v>
      </c>
      <c r="F150" t="str" cm="1">
        <f t="array" ref="F150">_xlfn.XLOOKUP(A150,'Automation Prepping'!$A$2:'Automation Prepping'!$A$315, 'Automation Prepping'!$H$2:'Automation Prepping'!$H$315)</f>
        <v>Y</v>
      </c>
      <c r="L150" t="str" cm="1">
        <f t="array" ref="L150">_xlfn.XLOOKUP(A150,'Automation Prepping'!$A$2:'Automation Prepping'!$A$315, 'Automation Prepping'!$I$2:'Automation Prepping'!$I$315)</f>
        <v>https://advance-lexis-com.ezproxy.library.tufts.edu/search/?pdmfid=1516831&amp;crid=7d5e38ec-4513-4b70-a4f9-9b5a31d928d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ielupe+OR+Levuo+OR+Musa+OR+Berze+OR+Lecava+OR+Memele+OR+Misa+OR+Sve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51" spans="1:12" ht="16" x14ac:dyDescent="0.2">
      <c r="A151" s="49" t="s">
        <v>426</v>
      </c>
      <c r="B151" s="49" t="s">
        <v>425</v>
      </c>
      <c r="C151" s="63" t="str" cm="1">
        <f t="array" ref="C151">_xlfn.XLOOKUP(A151,'Automation Prepping'!$A$2:'Automation Prepping'!$A$315, 'Automation Prepping'!$D$2:'Automation Prepping'!$D$315)</f>
        <v>Y (15 July 2022)</v>
      </c>
      <c r="D151" t="str" cm="1">
        <f t="array" ref="D151">_xlfn.XLOOKUP(A151,'Automation Prepping'!$A$2:'Automation Prepping'!$A$315, 'Automation Prepping'!$F$2:'Automation Prepping'!$F$315)</f>
        <v>Y</v>
      </c>
      <c r="F151" t="str" cm="1">
        <f t="array" ref="F151">_xlfn.XLOOKUP(A151,'Automation Prepping'!$A$2:'Automation Prepping'!$A$315, 'Automation Prepping'!$H$2:'Automation Prepping'!$H$315)</f>
        <v>Y</v>
      </c>
      <c r="L151" t="str" cm="1">
        <f t="array" ref="L151">_xlfn.XLOOKUP(A151,'Automation Prepping'!$A$2:'Automation Prepping'!$A$315, 'Automation Prepping'!$I$2:'Automation Prepping'!$I$315)</f>
        <v>https://advance-lexis-com.ezproxy.library.tufts.edu/search/?pdmfid=1516831&amp;crid=c1517a57-85b4-423c-acdd-35aa71182b9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ugh+Melvi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52" spans="1:12" ht="16" x14ac:dyDescent="0.2">
      <c r="A152" s="49" t="s">
        <v>428</v>
      </c>
      <c r="B152" s="49" t="s">
        <v>429</v>
      </c>
      <c r="C152" s="63" t="str" cm="1">
        <f t="array" ref="C152">_xlfn.XLOOKUP(A152,'Automation Prepping'!$A$2:'Automation Prepping'!$A$315, 'Automation Prepping'!$D$2:'Automation Prepping'!$D$315)</f>
        <v>N</v>
      </c>
      <c r="D152" t="str" cm="1">
        <f t="array" ref="D152">_xlfn.XLOOKUP(A152,'Automation Prepping'!$A$2:'Automation Prepping'!$A$315, 'Automation Prepping'!$F$2:'Automation Prepping'!$F$315)</f>
        <v>Need Add to 2024</v>
      </c>
      <c r="F152" cm="1">
        <f t="array" ref="F152">_xlfn.XLOOKUP(A152,'Automation Prepping'!$A$2:'Automation Prepping'!$A$315, 'Automation Prepping'!$H$2:'Automation Prepping'!$H$315)</f>
        <v>0</v>
      </c>
      <c r="I152" t="s">
        <v>1448</v>
      </c>
      <c r="L152" t="str" cm="1">
        <f t="array" ref="L152">_xlfn.XLOOKUP(A152,'Automation Prepping'!$A$2:'Automation Prepping'!$A$315, 'Automation Prepping'!$I$2:'Automation Prepping'!$I$315)</f>
        <v>https://advance-lexis-com.ezproxy.library.tufts.edu/search/?pdmfid=1516831&amp;crid=0b81513b-4f4a-4c2b-8ad2-ec8ace7d70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empa+OR+Lago+de+Guya+OR+CAPS(Grande)+OR+Embalse+Cerron+Grand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153" spans="1:12" ht="16" x14ac:dyDescent="0.2">
      <c r="A153" s="49" t="s">
        <v>431</v>
      </c>
      <c r="B153" s="49" t="s">
        <v>432</v>
      </c>
      <c r="C153" s="63" t="str" cm="1">
        <f t="array" ref="C153">_xlfn.XLOOKUP(A153,'Automation Prepping'!$A$2:'Automation Prepping'!$A$315, 'Automation Prepping'!$D$2:'Automation Prepping'!$D$315)</f>
        <v>N</v>
      </c>
      <c r="D153" t="str" cm="1">
        <f t="array" ref="D153">_xlfn.XLOOKUP(A153,'Automation Prepping'!$A$2:'Automation Prepping'!$A$315, 'Automation Prepping'!$F$2:'Automation Prepping'!$F$315)</f>
        <v>Y</v>
      </c>
      <c r="F153" t="str" cm="1">
        <f t="array" ref="F153">_xlfn.XLOOKUP(A153,'Automation Prepping'!$A$2:'Automation Prepping'!$A$315, 'Automation Prepping'!$H$2:'Automation Prepping'!$H$315)</f>
        <v>Y</v>
      </c>
      <c r="I153" t="s">
        <v>1448</v>
      </c>
      <c r="L153" t="str" cm="1">
        <f t="array" ref="L153">_xlfn.XLOOKUP(A153,'Automation Prepping'!$A$2:'Automation Prepping'!$A$315, 'Automation Prepping'!$I$2:'Automation Prepping'!$I$315)</f>
        <v>https://advance-lexis-com.ezproxy.library.tufts.edu/search/?pdmfid=1516831&amp;crid=d0983342-b882-429b-83db-b8c543a6ffa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impopo+OR+Changane+OR+Elands+OR+Great+Brak+OR+Great+Letaba+OR+Klein+Olifants+OR+Olifants+OR+Oompies+OR+Bubi+OR+Insiza+OR+Mchabezi+OR+Mtshabezi+OR+Mwenezi+OR+Shashe+OR+Thali+OR+Tuli+OR+Umtsabezi+OR+Umzingw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cf38ca7d-24d2-46cd-84fb-dfb3433ad27c</v>
      </c>
    </row>
    <row r="154" spans="1:12" ht="32" x14ac:dyDescent="0.2">
      <c r="A154" s="49" t="s">
        <v>434</v>
      </c>
      <c r="B154" s="49" t="s">
        <v>435</v>
      </c>
      <c r="C154" s="63" t="str" cm="1">
        <f t="array" ref="C154">_xlfn.XLOOKUP(A154,'Automation Prepping'!$A$2:'Automation Prepping'!$A$315, 'Automation Prepping'!$D$2:'Automation Prepping'!$D$315)</f>
        <v>Y (15 July 2022)</v>
      </c>
      <c r="D154" t="str" cm="1">
        <f t="array" ref="D154">_xlfn.XLOOKUP(A154,'Automation Prepping'!$A$2:'Automation Prepping'!$A$315, 'Automation Prepping'!$F$2:'Automation Prepping'!$F$315)</f>
        <v>Y</v>
      </c>
      <c r="F154" t="str" cm="1">
        <f t="array" ref="F154">_xlfn.XLOOKUP(A154,'Automation Prepping'!$A$2:'Automation Prepping'!$A$315, 'Automation Prepping'!$H$2:'Automation Prepping'!$H$315)</f>
        <v>Y</v>
      </c>
      <c r="L154" t="str" cm="1">
        <f t="array" ref="L154">_xlfn.XLOOKUP(A154,'Automation Prepping'!$A$2:'Automation Prepping'!$A$315, 'Automation Prepping'!$I$2:'Automation Prepping'!$I$315)</f>
        <v>https://advance-lexis-com.ezproxy.library.tufts.edu/search/?pdmfid=1516831&amp;crid=b2cf0191-1d24-4ebc-ad0e-2d98ad9fc44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goon+Dos+Patos+OR+Lagoon+Mirim+OR+Yaguaro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55" spans="1:12" ht="16" x14ac:dyDescent="0.2">
      <c r="A155" s="49" t="s">
        <v>437</v>
      </c>
      <c r="B155" s="49" t="s">
        <v>436</v>
      </c>
      <c r="C155" s="63" t="str" cm="1">
        <f t="array" ref="C155">_xlfn.XLOOKUP(A155,'Automation Prepping'!$A$2:'Automation Prepping'!$A$315, 'Automation Prepping'!$D$2:'Automation Prepping'!$D$315)</f>
        <v>Y (15 July 2022)</v>
      </c>
      <c r="D155" t="str" cm="1">
        <f t="array" ref="D155">_xlfn.XLOOKUP(A155,'Automation Prepping'!$A$2:'Automation Prepping'!$A$315, 'Automation Prepping'!$F$2:'Automation Prepping'!$F$315)</f>
        <v>Y</v>
      </c>
      <c r="F155" t="str" cm="1">
        <f t="array" ref="F155">_xlfn.XLOOKUP(A155,'Automation Prepping'!$A$2:'Automation Prepping'!$A$315, 'Automation Prepping'!$H$2:'Automation Prepping'!$H$315)</f>
        <v>Y</v>
      </c>
      <c r="L155" t="str" cm="1">
        <f t="array" ref="L155">_xlfn.XLOOKUP(A155,'Automation Prepping'!$A$2:'Automation Prepping'!$A$315, 'Automation Prepping'!$I$2:'Automation Prepping'!$I$315)</f>
        <v>https://advance-lexis-com.ezproxy.library.tufts.edu/search/?pdmfid=1516831&amp;crid=f9b55fea-0a4a-452c-899f-313004c94979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56" spans="1:12" ht="16" x14ac:dyDescent="0.2">
      <c r="A156" s="49" t="s">
        <v>439</v>
      </c>
      <c r="B156" s="49" t="s">
        <v>438</v>
      </c>
      <c r="C156" s="63" t="str" cm="1">
        <f t="array" ref="C156">_xlfn.XLOOKUP(A156,'Automation Prepping'!$A$2:'Automation Prepping'!$A$315, 'Automation Prepping'!$D$2:'Automation Prepping'!$D$315)</f>
        <v>Y (15 July 2022)</v>
      </c>
      <c r="D156" cm="1">
        <f t="array" ref="D156">_xlfn.XLOOKUP(A156,'Automation Prepping'!$A$2:'Automation Prepping'!$A$315, 'Automation Prepping'!$F$2:'Automation Prepping'!$F$315)</f>
        <v>0</v>
      </c>
      <c r="F156" cm="1">
        <f t="array" ref="F156">_xlfn.XLOOKUP(A156,'Automation Prepping'!$A$2:'Automation Prepping'!$A$315, 'Automation Prepping'!$H$2:'Automation Prepping'!$H$315)</f>
        <v>0</v>
      </c>
      <c r="L156" t="str" cm="1">
        <f t="array" ref="L156">_xlfn.XLOOKUP(A156,'Automation Prepping'!$A$2:'Automation Prepping'!$A$315, 'Automation Prepping'!$I$2:'Automation Prepping'!$I$315)</f>
        <v>https://advance-lexis-com.ezproxy.library.tufts.edu/search/?pdmfid=1516831&amp;crid=c42f1145-0529-46e7-b68d-35a6729338f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ff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57" spans="1:12" ht="16" x14ac:dyDescent="0.2">
      <c r="A157" s="49" t="s">
        <v>441</v>
      </c>
      <c r="B157" s="49" t="s">
        <v>442</v>
      </c>
      <c r="C157" s="63" t="str" cm="1">
        <f t="array" ref="C157">_xlfn.XLOOKUP(A157,'Automation Prepping'!$A$2:'Automation Prepping'!$A$315, 'Automation Prepping'!$D$2:'Automation Prepping'!$D$315)</f>
        <v>Y (1 July 2023)</v>
      </c>
      <c r="D157" cm="1">
        <f t="array" ref="D157">_xlfn.XLOOKUP(A157,'Automation Prepping'!$A$2:'Automation Prepping'!$A$315, 'Automation Prepping'!$F$2:'Automation Prepping'!$F$315)</f>
        <v>0</v>
      </c>
      <c r="F157" cm="1">
        <f t="array" ref="F157">_xlfn.XLOOKUP(A157,'Automation Prepping'!$A$2:'Automation Prepping'!$A$315, 'Automation Prepping'!$H$2:'Automation Prepping'!$H$315)</f>
        <v>0</v>
      </c>
      <c r="I157" t="s">
        <v>1450</v>
      </c>
      <c r="L157" t="str" cm="1">
        <f t="array" ref="L157">_xlfn.XLOOKUP(A157,'Automation Prepping'!$A$2:'Automation Prepping'!$A$315, 'Automation Prepping'!$I$2:'Automation Prepping'!$I$315)</f>
        <v>https://advance-lexis-com.ezproxy.library.tufts.edu/search/?pdmfid=1516831&amp;crid=9b0c1dda-3cfb-4c4a-b414-c9ad583e9797&amp;pdpsf=&amp;pdpost=&amp;pdstartin=urn%3Ahlct%3A16&amp;oc</v>
      </c>
    </row>
    <row r="158" spans="1:12" ht="16" x14ac:dyDescent="0.2">
      <c r="A158" s="49" t="s">
        <v>444</v>
      </c>
      <c r="B158" s="49" t="s">
        <v>445</v>
      </c>
      <c r="C158" s="63" t="str" cm="1">
        <f t="array" ref="C158">_xlfn.XLOOKUP(A158,'Automation Prepping'!$A$2:'Automation Prepping'!$A$315, 'Automation Prepping'!$D$2:'Automation Prepping'!$D$315)</f>
        <v>Y (15 July 2022)</v>
      </c>
      <c r="D158" t="str" cm="1">
        <f t="array" ref="D158">_xlfn.XLOOKUP(A158,'Automation Prepping'!$A$2:'Automation Prepping'!$A$315, 'Automation Prepping'!$F$2:'Automation Prepping'!$F$315)</f>
        <v>Y</v>
      </c>
      <c r="F158" t="str" cm="1">
        <f t="array" ref="F158">_xlfn.XLOOKUP(A158,'Automation Prepping'!$A$2:'Automation Prepping'!$A$315, 'Automation Prepping'!$H$2:'Automation Prepping'!$H$315)</f>
        <v>Y</v>
      </c>
      <c r="L158" t="str" cm="1">
        <f t="array" ref="L158">_xlfn.XLOOKUP(A158,'Automation Prepping'!$A$2:'Automation Prepping'!$A$315, 'Automation Prepping'!$I$2:'Automation Prepping'!$I$315)</f>
        <v>https://advance-lexis-com.ezproxy.library.tufts.edu/search/?pdmfid=1516831&amp;crid=6f68fdf7-679e-4765-8c2e-736d4351540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Little)+Scarcies+OR+Mong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59" spans="1:12" ht="16" x14ac:dyDescent="0.2">
      <c r="A159" s="49" t="s">
        <v>447</v>
      </c>
      <c r="B159" s="49" t="s">
        <v>446</v>
      </c>
      <c r="C159" s="63" t="str" cm="1">
        <f t="array" ref="C159">_xlfn.XLOOKUP(A159,'Automation Prepping'!$A$2:'Automation Prepping'!$A$315, 'Automation Prepping'!$D$2:'Automation Prepping'!$D$315)</f>
        <v>N</v>
      </c>
      <c r="D159" t="str" cm="1">
        <f t="array" ref="D159">_xlfn.XLOOKUP(A159,'Automation Prepping'!$A$2:'Automation Prepping'!$A$315, 'Automation Prepping'!$F$2:'Automation Prepping'!$F$315)</f>
        <v>Y</v>
      </c>
      <c r="F159" cm="1">
        <f t="array" ref="F159">_xlfn.XLOOKUP(A159,'Automation Prepping'!$A$2:'Automation Prepping'!$A$315, 'Automation Prepping'!$H$2:'Automation Prepping'!$H$315)</f>
        <v>0</v>
      </c>
      <c r="I159" t="s">
        <v>1448</v>
      </c>
      <c r="L159" t="str" cm="1">
        <f t="array" ref="L159">_xlfn.XLOOKUP(A159,'Automation Prepping'!$A$2:'Automation Prepping'!$A$315, 'Automation Prepping'!$I$2:'Automation Prepping'!$I$315)</f>
        <v>https://advance-lexis-com.ezproxy.library.tufts.edu/search/?pdmfid=1516831&amp;crid=811cb035-29ce-4c76-a48b-fd2ce38f520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uc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f7491191-a269-4c88-adca-9c55da362b0d</v>
      </c>
    </row>
    <row r="160" spans="1:12" ht="16" x14ac:dyDescent="0.2">
      <c r="A160" s="49" t="s">
        <v>449</v>
      </c>
      <c r="B160" s="49" t="s">
        <v>450</v>
      </c>
      <c r="C160" s="63" t="str" cm="1">
        <f t="array" ref="C160">_xlfn.XLOOKUP(A160,'Automation Prepping'!$A$2:'Automation Prepping'!$A$315, 'Automation Prepping'!$D$2:'Automation Prepping'!$D$315)</f>
        <v>Y (15 July 2022)</v>
      </c>
      <c r="D160" t="str" cm="1">
        <f t="array" ref="D160">_xlfn.XLOOKUP(A160,'Automation Prepping'!$A$2:'Automation Prepping'!$A$315, 'Automation Prepping'!$F$2:'Automation Prepping'!$F$315)</f>
        <v>Y</v>
      </c>
      <c r="F160" t="str" cm="1">
        <f t="array" ref="F160">_xlfn.XLOOKUP(A160,'Automation Prepping'!$A$2:'Automation Prepping'!$A$315, 'Automation Prepping'!$H$2:'Automation Prepping'!$H$315)</f>
        <v>Y</v>
      </c>
      <c r="L160" t="str" cm="1">
        <f t="array" ref="L160">_xlfn.XLOOKUP(A160,'Automation Prepping'!$A$2:'Automation Prepping'!$A$315, 'Automation Prepping'!$I$2:'Automation Prepping'!$I$315)</f>
        <v>https://advance-lexis-com.ezproxy.library.tufts.edu/search/?pdmfid=1516831&amp;crid=a8dac97f-89cb-422f-b525-17d662e903d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na+OR+Mor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61" spans="1:12" ht="16" x14ac:dyDescent="0.2">
      <c r="A161" s="49" t="s">
        <v>452</v>
      </c>
      <c r="B161" s="49" t="s">
        <v>451</v>
      </c>
      <c r="C161" s="63" t="str" cm="1">
        <f t="array" ref="C161">_xlfn.XLOOKUP(A161,'Automation Prepping'!$A$2:'Automation Prepping'!$A$315, 'Automation Prepping'!$D$2:'Automation Prepping'!$D$315)</f>
        <v>Y (15 July 2022)</v>
      </c>
      <c r="D161" t="str" cm="1">
        <f t="array" ref="D161">_xlfn.XLOOKUP(A161,'Automation Prepping'!$A$2:'Automation Prepping'!$A$315, 'Automation Prepping'!$F$2:'Automation Prepping'!$F$315)</f>
        <v>Y</v>
      </c>
      <c r="F161" t="str" cm="1">
        <f t="array" ref="F161">_xlfn.XLOOKUP(A161,'Automation Prepping'!$A$2:'Automation Prepping'!$A$315, 'Automation Prepping'!$H$2:'Automation Prepping'!$H$315)</f>
        <v>Y</v>
      </c>
      <c r="L161" t="str" cm="1">
        <f t="array" ref="L161">_xlfn.XLOOKUP(A161,'Automation Prepping'!$A$2:'Automation Prepping'!$A$315, 'Automation Prepping'!$I$2:'Automation Prepping'!$I$315)</f>
        <v>https://advance-lexis-com.ezproxy.library.tufts.edu/search/?pdmfid=1516831&amp;crid=632ce127-bf4b-4084-8584-ecdc26068bd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62" spans="1:12" ht="16" x14ac:dyDescent="0.2">
      <c r="A162" s="49" t="s">
        <v>454</v>
      </c>
      <c r="B162" s="49" t="s">
        <v>455</v>
      </c>
      <c r="C162" s="63" t="str" cm="1">
        <f t="array" ref="C162">_xlfn.XLOOKUP(A162,'Automation Prepping'!$A$2:'Automation Prepping'!$A$315, 'Automation Prepping'!$D$2:'Automation Prepping'!$D$315)</f>
        <v>Y (15 July 2022)</v>
      </c>
      <c r="D162" t="str" cm="1">
        <f t="array" ref="D162">_xlfn.XLOOKUP(A162,'Automation Prepping'!$A$2:'Automation Prepping'!$A$315, 'Automation Prepping'!$F$2:'Automation Prepping'!$F$315)</f>
        <v>Y</v>
      </c>
      <c r="F162" t="str" cm="1">
        <f t="array" ref="F162">_xlfn.XLOOKUP(A162,'Automation Prepping'!$A$2:'Automation Prepping'!$A$315, 'Automation Prepping'!$H$2:'Automation Prepping'!$H$315)</f>
        <v>Y</v>
      </c>
      <c r="L162" t="str" cm="1">
        <f t="array" ref="L162">_xlfn.XLOOKUP(A162,'Automation Prepping'!$A$2:'Automation Prepping'!$A$315, 'Automation Prepping'!$I$2:'Automation Prepping'!$I$315)</f>
        <v>https://advance-lexis-com.ezproxy.library.tufts.edu/search/?pdmfid=1516831&amp;crid=464d4532-da95-4694-9b7c-8c9115b05452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Massac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63" spans="1:12" ht="16" x14ac:dyDescent="0.2">
      <c r="A163" s="49" t="s">
        <v>458</v>
      </c>
      <c r="B163" s="49" t="s">
        <v>459</v>
      </c>
      <c r="C163" s="63" t="str" cm="1">
        <f t="array" ref="C163">_xlfn.XLOOKUP(A163,'Automation Prepping'!$A$2:'Automation Prepping'!$A$315, 'Automation Prepping'!$D$2:'Automation Prepping'!$D$315)</f>
        <v>N</v>
      </c>
      <c r="D163" t="str" cm="1">
        <f t="array" ref="D163">_xlfn.XLOOKUP(A163,'Automation Prepping'!$A$2:'Automation Prepping'!$A$315, 'Automation Prepping'!$F$2:'Automation Prepping'!$F$315)</f>
        <v>Need Add to 2024</v>
      </c>
      <c r="F163" cm="1">
        <f t="array" ref="F163">_xlfn.XLOOKUP(A163,'Automation Prepping'!$A$2:'Automation Prepping'!$A$315, 'Automation Prepping'!$H$2:'Automation Prepping'!$H$315)</f>
        <v>0</v>
      </c>
      <c r="I163" t="s">
        <v>1448</v>
      </c>
      <c r="L163" t="str" cm="1">
        <f t="array" ref="L163">_xlfn.XLOOKUP(A163,'Automation Prepping'!$A$2:'Automation Prepping'!$A$315, 'Automation Prepping'!$I$2:'Automation Prepping'!$I$315)</f>
        <v>https://advance-lexis-com.ezproxy.library.tufts.edu/search/?pdmfid=1516831&amp;crid=b1b69dc8-f92e-4efb-9e30-d7acd3d40199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Ma)+OR+He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164" spans="1:12" ht="16" x14ac:dyDescent="0.2">
      <c r="A164" s="49" t="s">
        <v>461</v>
      </c>
      <c r="B164" s="49" t="s">
        <v>460</v>
      </c>
      <c r="C164" s="63" t="str" cm="1">
        <f t="array" ref="C164">_xlfn.XLOOKUP(A164,'Automation Prepping'!$A$2:'Automation Prepping'!$A$315, 'Automation Prepping'!$D$2:'Automation Prepping'!$D$315)</f>
        <v>Y (15 July 2022)</v>
      </c>
      <c r="D164" t="str" cm="1">
        <f t="array" ref="D164">_xlfn.XLOOKUP(A164,'Automation Prepping'!$A$2:'Automation Prepping'!$A$315, 'Automation Prepping'!$F$2:'Automation Prepping'!$F$315)</f>
        <v>Y</v>
      </c>
      <c r="F164" t="str" cm="1">
        <f t="array" ref="F164">_xlfn.XLOOKUP(A164,'Automation Prepping'!$A$2:'Automation Prepping'!$A$315, 'Automation Prepping'!$H$2:'Automation Prepping'!$H$315)</f>
        <v>Y</v>
      </c>
      <c r="L164" t="str" cm="1">
        <f t="array" ref="L164">_xlfn.XLOOKUP(A164,'Automation Prepping'!$A$2:'Automation Prepping'!$A$315, 'Automation Prepping'!$I$2:'Automation Prepping'!$I$315)</f>
        <v>https://advance-lexis-com.ezproxy.library.tufts.edu/search/?pdmfid=1516831&amp;crid=bee11631-827e-4431-9fce-922ae62234a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b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65" spans="1:12" ht="16" x14ac:dyDescent="0.2">
      <c r="A165" s="49" t="s">
        <v>464</v>
      </c>
      <c r="B165" s="49" t="s">
        <v>465</v>
      </c>
      <c r="C165" s="63" t="str" cm="1">
        <f t="array" ref="C165">_xlfn.XLOOKUP(A165,'Automation Prepping'!$A$2:'Automation Prepping'!$A$315, 'Automation Prepping'!$D$2:'Automation Prepping'!$D$315)</f>
        <v>Y (15 July 2022)</v>
      </c>
      <c r="D165" t="str" cm="1">
        <f t="array" ref="D165">_xlfn.XLOOKUP(A165,'Automation Prepping'!$A$2:'Automation Prepping'!$A$315, 'Automation Prepping'!$F$2:'Automation Prepping'!$F$315)</f>
        <v>Y</v>
      </c>
      <c r="F165" t="str" cm="1">
        <f t="array" ref="F165">_xlfn.XLOOKUP(A165,'Automation Prepping'!$A$2:'Automation Prepping'!$A$315, 'Automation Prepping'!$H$2:'Automation Prepping'!$H$315)</f>
        <v>Y</v>
      </c>
      <c r="L165" t="str" cm="1">
        <f t="array" ref="L165">_xlfn.XLOOKUP(A165,'Automation Prepping'!$A$2:'Automation Prepping'!$A$315, 'Automation Prepping'!$I$2:'Automation Prepping'!$I$315)</f>
        <v>https://advance-lexis-com.ezproxy.library.tufts.edu/search/?pdmfid=1516831&amp;crid=926c9ab5-004f-4f4c-8011-6ca27bf1019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edjerda+OR+Medjerda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66" spans="1:12" ht="16" x14ac:dyDescent="0.2">
      <c r="A166" s="49" t="s">
        <v>467</v>
      </c>
      <c r="B166" s="49" t="s">
        <v>468</v>
      </c>
      <c r="C166" s="63" t="str" cm="1">
        <f t="array" ref="C166">_xlfn.XLOOKUP(A166,'Automation Prepping'!$A$2:'Automation Prepping'!$A$315, 'Automation Prepping'!$D$2:'Automation Prepping'!$D$315)</f>
        <v>N</v>
      </c>
      <c r="D166" t="str" cm="1">
        <f t="array" ref="D166">_xlfn.XLOOKUP(A166,'Automation Prepping'!$A$2:'Automation Prepping'!$A$315, 'Automation Prepping'!$F$2:'Automation Prepping'!$F$315)</f>
        <v>Y</v>
      </c>
      <c r="F166" t="str" cm="1">
        <f t="array" ref="F166">_xlfn.XLOOKUP(A166,'Automation Prepping'!$A$2:'Automation Prepping'!$A$315, 'Automation Prepping'!$H$2:'Automation Prepping'!$H$315)</f>
        <v>Y</v>
      </c>
      <c r="I166" t="s">
        <v>1450</v>
      </c>
      <c r="L166" t="str" cm="1">
        <f t="array" ref="L166">_xlfn.XLOOKUP(A166,'Automation Prepping'!$A$2:'Automation Prepping'!$A$315, 'Automation Prepping'!$I$2:'Automation Prepping'!$I$315)</f>
        <v>https://advance-lexis-com.ezproxy.library.tufts.edu/search/?pdmfid=1516831&amp;crid=146a24ab-9e36-455d-827e-a295bfa5cf11&amp;pdpsf=&amp;pdpost=&amp;pdstartin=urn%3Ahlct%3A16&amp;oc</v>
      </c>
    </row>
    <row r="167" spans="1:12" ht="32" x14ac:dyDescent="0.2">
      <c r="A167" s="49" t="s">
        <v>470</v>
      </c>
      <c r="B167" s="49" t="s">
        <v>471</v>
      </c>
      <c r="C167" s="63" t="str" cm="1">
        <f t="array" ref="C167">_xlfn.XLOOKUP(A167,'Automation Prepping'!$A$2:'Automation Prepping'!$A$315, 'Automation Prepping'!$D$2:'Automation Prepping'!$D$315)</f>
        <v>Y (15 July 2022)</v>
      </c>
      <c r="D167" t="str" cm="1">
        <f t="array" ref="D167">_xlfn.XLOOKUP(A167,'Automation Prepping'!$A$2:'Automation Prepping'!$A$315, 'Automation Prepping'!$F$2:'Automation Prepping'!$F$315)</f>
        <v>Y</v>
      </c>
      <c r="F167" t="str" cm="1">
        <f t="array" ref="F167">_xlfn.XLOOKUP(A167,'Automation Prepping'!$A$2:'Automation Prepping'!$A$315, 'Automation Prepping'!$H$2:'Automation Prepping'!$H$315)</f>
        <v>Y</v>
      </c>
      <c r="L167" t="str" cm="1">
        <f t="array" ref="L167">_xlfn.XLOOKUP(A167,'Automation Prepping'!$A$2:'Automation Prepping'!$A$315, 'Automation Prepping'!$I$2:'Automation Prepping'!$I$315)</f>
        <v>https://advance-lexis-com.ezproxy.library.tufts.edu/search/?pdmfid=1516831&amp;crid=7215790a-6632-4cc5-a28e-b5dbfe3e625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uhuri+OR+CAPS(Little)+Fe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68" spans="1:12" ht="16" x14ac:dyDescent="0.2">
      <c r="A168" s="49" t="s">
        <v>473</v>
      </c>
      <c r="B168" s="49" t="s">
        <v>474</v>
      </c>
      <c r="C168" s="63" t="str" cm="1">
        <f t="array" ref="C168">_xlfn.XLOOKUP(A168,'Automation Prepping'!$A$2:'Automation Prepping'!$A$315, 'Automation Prepping'!$D$2:'Automation Prepping'!$D$315)</f>
        <v>Y (15 July 2022)</v>
      </c>
      <c r="D168" t="str" cm="1">
        <f t="array" ref="D168">_xlfn.XLOOKUP(A168,'Automation Prepping'!$A$2:'Automation Prepping'!$A$315, 'Automation Prepping'!$F$2:'Automation Prepping'!$F$315)</f>
        <v>Y</v>
      </c>
      <c r="F168" t="str" cm="1">
        <f t="array" ref="F168">_xlfn.XLOOKUP(A168,'Automation Prepping'!$A$2:'Automation Prepping'!$A$315, 'Automation Prepping'!$H$2:'Automation Prepping'!$H$315)</f>
        <v>Y</v>
      </c>
      <c r="L168" t="str" cm="1">
        <f t="array" ref="L168">_xlfn.XLOOKUP(A168,'Automation Prepping'!$A$2:'Automation Prepping'!$A$315, 'Automation Prepping'!$I$2:'Automation Prepping'!$I$315)</f>
        <v>https://advance-lexis-com.ezproxy.library.tufts.edu/search/?pdmfid=1516831&amp;crid=93ff2cc8-680e-4372-b153-63da2a90854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nllarinos+OR+Boeza+OR+Casoyo+OR+Eiros+OR+Lona+OR+Mino+OR+Valseco+OR+Arnoia+OR+Sil+OR+Lor+OR+Bibei+OR+Cua+OR+Laguna+de+Ante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69" spans="1:12" ht="16" x14ac:dyDescent="0.2">
      <c r="A169" s="49" t="s">
        <v>476</v>
      </c>
      <c r="B169" s="49" t="s">
        <v>475</v>
      </c>
      <c r="C169" s="63" t="str" cm="1">
        <f t="array" ref="C169">_xlfn.XLOOKUP(A169,'Automation Prepping'!$A$2:'Automation Prepping'!$A$315, 'Automation Prepping'!$D$2:'Automation Prepping'!$D$315)</f>
        <v>Y (15 July 2022)</v>
      </c>
      <c r="D169" t="str" cm="1">
        <f t="array" ref="D169">_xlfn.XLOOKUP(A169,'Automation Prepping'!$A$2:'Automation Prepping'!$A$315, 'Automation Prepping'!$F$2:'Automation Prepping'!$F$315)</f>
        <v>Y</v>
      </c>
      <c r="F169" t="str" cm="1">
        <f t="array" ref="F169">_xlfn.XLOOKUP(A169,'Automation Prepping'!$A$2:'Automation Prepping'!$A$315, 'Automation Prepping'!$H$2:'Automation Prepping'!$H$315)</f>
        <v>Y</v>
      </c>
      <c r="L169" t="str" cm="1">
        <f t="array" ref="L169">_xlfn.XLOOKUP(A169,'Automation Prepping'!$A$2:'Automation Prepping'!$A$315, 'Automation Prepping'!$I$2:'Automation Prepping'!$I$315)</f>
        <v>https://advance-lexis-com.ezproxy.library.tufts.edu/search/?pdmfid=1516831&amp;crid=bb90f2b1-7b92-4d8a-a3f2-1c0aafd36b1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i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70" spans="1:12" ht="16" x14ac:dyDescent="0.2">
      <c r="A170" s="49" t="s">
        <v>479</v>
      </c>
      <c r="B170" s="49" t="s">
        <v>480</v>
      </c>
      <c r="C170" s="63" t="str" cm="1">
        <f t="array" ref="C170">_xlfn.XLOOKUP(A170,'Automation Prepping'!$A$2:'Automation Prepping'!$A$315, 'Automation Prepping'!$D$2:'Automation Prepping'!$D$315)</f>
        <v>N</v>
      </c>
      <c r="D170" t="str" cm="1">
        <f t="array" ref="D170">_xlfn.XLOOKUP(A170,'Automation Prepping'!$A$2:'Automation Prepping'!$A$315, 'Automation Prepping'!$F$2:'Automation Prepping'!$F$315)</f>
        <v>In Progress</v>
      </c>
      <c r="F170" cm="1">
        <f t="array" ref="F170">_xlfn.XLOOKUP(A170,'Automation Prepping'!$A$2:'Automation Prepping'!$A$315, 'Automation Prepping'!$H$2:'Automation Prepping'!$H$315)</f>
        <v>0</v>
      </c>
      <c r="I170" t="s">
        <v>1450</v>
      </c>
      <c r="L170" t="str" cm="1">
        <f t="array" ref="L170">_xlfn.XLOOKUP(A170,'Automation Prepping'!$A$2:'Automation Prepping'!$A$315, 'Automation Prepping'!$I$2:'Automation Prepping'!$I$315)</f>
        <v>https://advance-lexis-com.ezproxy.library.tufts.edu/search/?pdmfid=1516831&amp;crid=a1e400d6-b8ee-4dc2-9bc4-c023844c9c1f&amp;pdpsf=&amp;pdpost=&amp;pdstartin=urn%3Ahlct%3A16&amp;oc</v>
      </c>
    </row>
    <row r="171" spans="1:12" ht="16" x14ac:dyDescent="0.2">
      <c r="A171" s="49" t="s">
        <v>482</v>
      </c>
      <c r="B171" s="49" t="s">
        <v>481</v>
      </c>
      <c r="C171" s="63" t="str" cm="1">
        <f t="array" ref="C171">_xlfn.XLOOKUP(A171,'Automation Prepping'!$A$2:'Automation Prepping'!$A$315, 'Automation Prepping'!$D$2:'Automation Prepping'!$D$315)</f>
        <v>Y (15 July 2022)</v>
      </c>
      <c r="D171" cm="1">
        <f t="array" ref="D171">_xlfn.XLOOKUP(A171,'Automation Prepping'!$A$2:'Automation Prepping'!$A$315, 'Automation Prepping'!$F$2:'Automation Prepping'!$F$315)</f>
        <v>0</v>
      </c>
      <c r="F171" cm="1">
        <f t="array" ref="F171">_xlfn.XLOOKUP(A171,'Automation Prepping'!$A$2:'Automation Prepping'!$A$315, 'Automation Prepping'!$H$2:'Automation Prepping'!$H$315)</f>
        <v>0</v>
      </c>
      <c r="L171" t="str" cm="1">
        <f t="array" ref="L171">_xlfn.XLOOKUP(A171,'Automation Prepping'!$A$2:'Automation Prepping'!$A$315, 'Automation Prepping'!$I$2:'Automation Prepping'!$I$315)</f>
        <v>https://advance-lexis-com.ezproxy.library.tufts.edu/search/?pdmfid=1516831&amp;crid=63a58ceb-12d8-455a-96ce-3a73c60e0a4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iu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72" spans="1:12" ht="16" x14ac:dyDescent="0.2">
      <c r="A172" s="49" t="s">
        <v>484</v>
      </c>
      <c r="B172" s="49" t="s">
        <v>483</v>
      </c>
      <c r="C172" s="63" t="str" cm="1">
        <f t="array" ref="C172">_xlfn.XLOOKUP(A172,'Automation Prepping'!$A$2:'Automation Prepping'!$A$315, 'Automation Prepping'!$D$2:'Automation Prepping'!$D$315)</f>
        <v>Y (15 July 2022)</v>
      </c>
      <c r="D172" t="str" cm="1">
        <f t="array" ref="D172">_xlfn.XLOOKUP(A172,'Automation Prepping'!$A$2:'Automation Prepping'!$A$315, 'Automation Prepping'!$F$2:'Automation Prepping'!$F$315)</f>
        <v>Y</v>
      </c>
      <c r="F172" t="str" cm="1">
        <f t="array" ref="F172">_xlfn.XLOOKUP(A172,'Automation Prepping'!$A$2:'Automation Prepping'!$A$315, 'Automation Prepping'!$H$2:'Automation Prepping'!$H$315)</f>
        <v>Y</v>
      </c>
      <c r="L172" t="str" cm="1">
        <f t="array" ref="L172">_xlfn.XLOOKUP(A172,'Automation Prepping'!$A$2:'Automation Prepping'!$A$315, 'Automation Prepping'!$I$2:'Automation Prepping'!$I$315)</f>
        <v>https://advance-lexis-com.ezproxy.library.tufts.edu/search/?pdmfid=1516831&amp;crid=2ca7bed2-0403-4231-a6bc-4dd59c49664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73" spans="1:12" ht="16" x14ac:dyDescent="0.2">
      <c r="A173" s="49" t="s">
        <v>487</v>
      </c>
      <c r="B173" s="49" t="s">
        <v>486</v>
      </c>
      <c r="C173" s="63" t="str" cm="1">
        <f t="array" ref="C173">_xlfn.XLOOKUP(A173,'Automation Prepping'!$A$2:'Automation Prepping'!$A$315, 'Automation Prepping'!$D$2:'Automation Prepping'!$D$315)</f>
        <v>Y (15 July 2022)</v>
      </c>
      <c r="D173" t="str" cm="1">
        <f t="array" ref="D173">_xlfn.XLOOKUP(A173,'Automation Prepping'!$A$2:'Automation Prepping'!$A$315, 'Automation Prepping'!$F$2:'Automation Prepping'!$F$315)</f>
        <v>Y</v>
      </c>
      <c r="F173" t="str" cm="1">
        <f t="array" ref="F173">_xlfn.XLOOKUP(A173,'Automation Prepping'!$A$2:'Automation Prepping'!$A$315, 'Automation Prepping'!$H$2:'Automation Prepping'!$H$315)</f>
        <v>Y</v>
      </c>
      <c r="L173" t="str" cm="1">
        <f t="array" ref="L173">_xlfn.XLOOKUP(A173,'Automation Prepping'!$A$2:'Automation Prepping'!$A$315, 'Automation Prepping'!$I$2:'Automation Prepping'!$I$315)</f>
        <v>https://advance-lexis-com.ezproxy.library.tufts.edu/search/?pdmfid=1516831&amp;crid=aa2c115a-4f21-4fe9-9d73-102bb8447617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h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74" spans="1:12" ht="16" x14ac:dyDescent="0.2">
      <c r="A174" s="49" t="s">
        <v>489</v>
      </c>
      <c r="B174" s="49" t="s">
        <v>490</v>
      </c>
      <c r="C174" s="63" t="str" cm="1">
        <f t="array" ref="C174">_xlfn.XLOOKUP(A174,'Automation Prepping'!$A$2:'Automation Prepping'!$A$315, 'Automation Prepping'!$D$2:'Automation Prepping'!$D$315)</f>
        <v>Y (15 July 2022)</v>
      </c>
      <c r="D174" t="str" cm="1">
        <f t="array" ref="D174">_xlfn.XLOOKUP(A174,'Automation Prepping'!$A$2:'Automation Prepping'!$A$315, 'Automation Prepping'!$F$2:'Automation Prepping'!$F$315)</f>
        <v>Y</v>
      </c>
      <c r="F174" t="str" cm="1">
        <f t="array" ref="F174">_xlfn.XLOOKUP(A174,'Automation Prepping'!$A$2:'Automation Prepping'!$A$315, 'Automation Prepping'!$H$2:'Automation Prepping'!$H$315)</f>
        <v>Y</v>
      </c>
      <c r="L174" t="str" cm="1">
        <f t="array" ref="L174">_xlfn.XLOOKUP(A174,'Automation Prepping'!$A$2:'Automation Prepping'!$A$315, 'Automation Prepping'!$I$2:'Automation Prepping'!$I$315)</f>
        <v>https://advance-lexis-com.ezproxy.library.tufts.edu/search/?pdmfid=1516831&amp;crid=c0b71d33-843b-41b1-8af7-7c546a5e78f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no+OR+Og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75" spans="1:12" ht="16" x14ac:dyDescent="0.2">
      <c r="A175" s="49" t="s">
        <v>493</v>
      </c>
      <c r="B175" s="49" t="s">
        <v>492</v>
      </c>
      <c r="C175" s="63" t="str" cm="1">
        <f t="array" ref="C175">_xlfn.XLOOKUP(A175,'Automation Prepping'!$A$2:'Automation Prepping'!$A$315, 'Automation Prepping'!$D$2:'Automation Prepping'!$D$315)</f>
        <v>Y (15 July 2022)</v>
      </c>
      <c r="D175" cm="1">
        <f t="array" ref="D175">_xlfn.XLOOKUP(A175,'Automation Prepping'!$A$2:'Automation Prepping'!$A$315, 'Automation Prepping'!$F$2:'Automation Prepping'!$F$315)</f>
        <v>0</v>
      </c>
      <c r="F175" cm="1">
        <f t="array" ref="F175">_xlfn.XLOOKUP(A175,'Automation Prepping'!$A$2:'Automation Prepping'!$A$315, 'Automation Prepping'!$H$2:'Automation Prepping'!$H$315)</f>
        <v>0</v>
      </c>
      <c r="L175" t="str" cm="1">
        <f t="array" ref="L175">_xlfn.XLOOKUP(A175,'Automation Prepping'!$A$2:'Automation Prepping'!$A$315, 'Automation Prepping'!$I$2:'Automation Prepping'!$I$315)</f>
        <v>https://advance-lexis-com.ezproxy.library.tufts.edu/search/?pdmfid=1516831&amp;crid=7da855cf-ec4c-474a-bff0-f25f75ecfcf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otaqu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76" spans="1:12" ht="16" x14ac:dyDescent="0.2">
      <c r="A176" s="49" t="s">
        <v>495</v>
      </c>
      <c r="B176" s="49" t="s">
        <v>494</v>
      </c>
      <c r="C176" s="63" t="str" cm="1">
        <f t="array" ref="C176">_xlfn.XLOOKUP(A176,'Automation Prepping'!$A$2:'Automation Prepping'!$A$315, 'Automation Prepping'!$D$2:'Automation Prepping'!$D$315)</f>
        <v>Y (15 July 2022)</v>
      </c>
      <c r="D176" t="str" cm="1">
        <f t="array" ref="D176">_xlfn.XLOOKUP(A176,'Automation Prepping'!$A$2:'Automation Prepping'!$A$315, 'Automation Prepping'!$F$2:'Automation Prepping'!$F$315)</f>
        <v>Y</v>
      </c>
      <c r="F176" t="str" cm="1">
        <f t="array" ref="F176">_xlfn.XLOOKUP(A176,'Automation Prepping'!$A$2:'Automation Prepping'!$A$315, 'Automation Prepping'!$H$2:'Automation Prepping'!$H$315)</f>
        <v>Y</v>
      </c>
      <c r="L176" t="str" cm="1">
        <f t="array" ref="L176">_xlfn.XLOOKUP(A176,'Automation Prepping'!$A$2:'Automation Prepping'!$A$315, 'Automation Prepping'!$I$2:'Automation Prepping'!$I$315)</f>
        <v>https://advance-lexis-com.ezproxy.library.tufts.edu/search/?pdmfid=1516831&amp;crid=96b67859-12c7-49d5-83e0-0ab256f19d65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put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77" spans="1:12" ht="16" x14ac:dyDescent="0.2">
      <c r="A177" s="49" t="s">
        <v>498</v>
      </c>
      <c r="B177" s="49" t="s">
        <v>499</v>
      </c>
      <c r="C177" s="63" t="str" cm="1">
        <f t="array" ref="C177">_xlfn.XLOOKUP(A177,'Automation Prepping'!$A$2:'Automation Prepping'!$A$315, 'Automation Prepping'!$D$2:'Automation Prepping'!$D$315)</f>
        <v>Y (15 July 2022)</v>
      </c>
      <c r="D177" t="str" cm="1">
        <f t="array" ref="D177">_xlfn.XLOOKUP(A177,'Automation Prepping'!$A$2:'Automation Prepping'!$A$315, 'Automation Prepping'!$F$2:'Automation Prepping'!$F$315)</f>
        <v>Y</v>
      </c>
      <c r="F177" t="str" cm="1">
        <f t="array" ref="F177">_xlfn.XLOOKUP(A177,'Automation Prepping'!$A$2:'Automation Prepping'!$A$315, 'Automation Prepping'!$H$2:'Automation Prepping'!$H$315)</f>
        <v>Y</v>
      </c>
      <c r="L177" t="str" cm="1">
        <f t="array" ref="L177">_xlfn.XLOOKUP(A177,'Automation Prepping'!$A$2:'Automation Prepping'!$A$315, 'Automation Prepping'!$I$2:'Automation Prepping'!$I$315)</f>
        <v>https://advance-lexis-com.ezproxy.library.tufts.edu/search/?pdmfid=1516831&amp;crid=f600e47e-35e6-47ea-b4c5-92d367c6fa4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urgab+OR+Gushgy)+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78" spans="1:12" ht="16" x14ac:dyDescent="0.2">
      <c r="A178" s="49" t="s">
        <v>501</v>
      </c>
      <c r="B178" s="49" t="s">
        <v>502</v>
      </c>
      <c r="C178" s="63" t="str" cm="1">
        <f t="array" ref="C178">_xlfn.XLOOKUP(A178,'Automation Prepping'!$A$2:'Automation Prepping'!$A$315, 'Automation Prepping'!$D$2:'Automation Prepping'!$D$315)</f>
        <v>Y (15 July 2022)</v>
      </c>
      <c r="D178" t="str" cm="1">
        <f t="array" ref="D178">_xlfn.XLOOKUP(A178,'Automation Prepping'!$A$2:'Automation Prepping'!$A$315, 'Automation Prepping'!$F$2:'Automation Prepping'!$F$315)</f>
        <v>Y</v>
      </c>
      <c r="F178" t="str" cm="1">
        <f t="array" ref="F178">_xlfn.XLOOKUP(A178,'Automation Prepping'!$A$2:'Automation Prepping'!$A$315, 'Automation Prepping'!$H$2:'Automation Prepping'!$H$315)</f>
        <v>Y</v>
      </c>
      <c r="L178" t="str" cm="1">
        <f t="array" ref="L178">_xlfn.XLOOKUP(A178,'Automation Prepping'!$A$2:'Automation Prepping'!$A$315, 'Automation Prepping'!$I$2:'Automation Prepping'!$I$315)</f>
        <v>https://advance-lexis-com.ezproxy.library.tufts.edu/search/?pdmfid=1516831&amp;crid=e0982c53-9f1a-4213-b08a-fbc5015c52d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roni+OR+Litani+Itany+OR+Marouini+OR+Ouagui+OR+Tampo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79" spans="1:12" ht="16" x14ac:dyDescent="0.2">
      <c r="A179" s="49" t="s">
        <v>504</v>
      </c>
      <c r="B179" s="49" t="s">
        <v>505</v>
      </c>
      <c r="C179" s="63" t="str" cm="1">
        <f t="array" ref="C179">_xlfn.XLOOKUP(A179,'Automation Prepping'!$A$2:'Automation Prepping'!$A$315, 'Automation Prepping'!$D$2:'Automation Prepping'!$D$315)</f>
        <v>Y (15 July 2022)</v>
      </c>
      <c r="D179" t="str" cm="1">
        <f t="array" ref="D179">_xlfn.XLOOKUP(A179,'Automation Prepping'!$A$2:'Automation Prepping'!$A$315, 'Automation Prepping'!$F$2:'Automation Prepping'!$F$315)</f>
        <v>Y</v>
      </c>
      <c r="F179" t="str" cm="1">
        <f t="array" ref="F179">_xlfn.XLOOKUP(A179,'Automation Prepping'!$A$2:'Automation Prepping'!$A$315, 'Automation Prepping'!$H$2:'Automation Prepping'!$H$315)</f>
        <v>Y</v>
      </c>
      <c r="L179" t="str" cm="1">
        <f t="array" ref="L179">_xlfn.XLOOKUP(A179,'Automation Prepping'!$A$2:'Automation Prepping'!$A$315, 'Automation Prepping'!$I$2:'Automation Prepping'!$I$315)</f>
        <v>https://advance-lexis-com.ezproxy.library.tufts.edu/search/?pdmfid=1516831&amp;crid=53499b89-d6f6-4e20-95d3-6d30b485ebd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ritsa+OR+Ovtcharitza+OR+Skender+de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80" spans="1:12" ht="16" x14ac:dyDescent="0.2">
      <c r="A180" s="49" t="s">
        <v>507</v>
      </c>
      <c r="B180" s="49" t="s">
        <v>506</v>
      </c>
      <c r="C180" s="63" t="str" cm="1">
        <f t="array" ref="C180">_xlfn.XLOOKUP(A180,'Automation Prepping'!$A$2:'Automation Prepping'!$A$315, 'Automation Prepping'!$D$2:'Automation Prepping'!$D$315)</f>
        <v>Y (15 July 2022)</v>
      </c>
      <c r="D180" t="str" cm="1">
        <f t="array" ref="D180">_xlfn.XLOOKUP(A180,'Automation Prepping'!$A$2:'Automation Prepping'!$A$315, 'Automation Prepping'!$F$2:'Automation Prepping'!$F$315)</f>
        <v>Y</v>
      </c>
      <c r="F180" t="str" cm="1">
        <f t="array" ref="F180">_xlfn.XLOOKUP(A180,'Automation Prepping'!$A$2:'Automation Prepping'!$A$315, 'Automation Prepping'!$H$2:'Automation Prepping'!$H$315)</f>
        <v>Y</v>
      </c>
      <c r="L180" t="str" cm="1">
        <f t="array" ref="L180">_xlfn.XLOOKUP(A180,'Automation Prepping'!$A$2:'Automation Prepping'!$A$315, 'Automation Prepping'!$I$2:'Automation Prepping'!$I$315)</f>
        <v>https://advance-lexis-com.ezproxy.library.tufts.edu/search/?pdmfid=1516831&amp;crid=a8bf82cb-32e2-4e9f-8645-acf4d83bfa41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Mataj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81" spans="1:12" ht="16" x14ac:dyDescent="0.2">
      <c r="A181" s="49" t="s">
        <v>509</v>
      </c>
      <c r="B181" s="49" t="s">
        <v>510</v>
      </c>
      <c r="C181" s="63" t="str" cm="1">
        <f t="array" ref="C181">_xlfn.XLOOKUP(A181,'Automation Prepping'!$A$2:'Automation Prepping'!$A$315, 'Automation Prepping'!$D$2:'Automation Prepping'!$D$315)</f>
        <v>Y (15 July 2022)</v>
      </c>
      <c r="D181" t="str" cm="1">
        <f t="array" ref="D181">_xlfn.XLOOKUP(A181,'Automation Prepping'!$A$2:'Automation Prepping'!$A$315, 'Automation Prepping'!$F$2:'Automation Prepping'!$F$315)</f>
        <v>Y</v>
      </c>
      <c r="F181" t="str" cm="1">
        <f t="array" ref="F181">_xlfn.XLOOKUP(A181,'Automation Prepping'!$A$2:'Automation Prepping'!$A$315, 'Automation Prepping'!$H$2:'Automation Prepping'!$H$315)</f>
        <v>Y</v>
      </c>
      <c r="L181" t="str" cm="1">
        <f t="array" ref="L181">_xlfn.XLOOKUP(A181,'Automation Prepping'!$A$2:'Automation Prepping'!$A$315, 'Automation Prepping'!$I$2:'Automation Prepping'!$I$315)</f>
        <v>https://advance-lexis-com.ezproxy.library.tufts.edu/search/?pdmfid=1516831&amp;crid=953b7027-f6ac-47e8-93a5-026f332a63b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af)+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82" spans="1:12" ht="16" x14ac:dyDescent="0.2">
      <c r="A182" s="49" t="s">
        <v>512</v>
      </c>
      <c r="B182" s="49" t="s">
        <v>511</v>
      </c>
      <c r="C182" s="63" t="str" cm="1">
        <f t="array" ref="C182">_xlfn.XLOOKUP(A182,'Automation Prepping'!$A$2:'Automation Prepping'!$A$315, 'Automation Prepping'!$D$2:'Automation Prepping'!$D$315)</f>
        <v>Y (15 July 2022)</v>
      </c>
      <c r="D182" cm="1">
        <f t="array" ref="D182">_xlfn.XLOOKUP(A182,'Automation Prepping'!$A$2:'Automation Prepping'!$A$315, 'Automation Prepping'!$F$2:'Automation Prepping'!$F$315)</f>
        <v>0</v>
      </c>
      <c r="F182" cm="1">
        <f t="array" ref="F182">_xlfn.XLOOKUP(A182,'Automation Prepping'!$A$2:'Automation Prepping'!$A$315, 'Automation Prepping'!$H$2:'Automation Prepping'!$H$315)</f>
        <v>0</v>
      </c>
      <c r="L182" t="str" cm="1">
        <f t="array" ref="L182">_xlfn.XLOOKUP(A182,'Automation Prepping'!$A$2:'Automation Prepping'!$A$315, 'Automation Prepping'!$I$2:'Automation Prepping'!$I$315)</f>
        <v>https://advance-lexis-com.ezproxy.library.tufts.edu/search/?pdmfid=1516831&amp;crid=0902cc7f-9cfe-4030-b767-aac6566b9fc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atam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83" spans="1:12" ht="16" x14ac:dyDescent="0.2">
      <c r="A183" s="49" t="s">
        <v>515</v>
      </c>
      <c r="B183" s="49" t="s">
        <v>514</v>
      </c>
      <c r="C183" s="63" t="str" cm="1">
        <f t="array" ref="C183">_xlfn.XLOOKUP(A183,'Automation Prepping'!$A$2:'Automation Prepping'!$A$315, 'Automation Prepping'!$D$2:'Automation Prepping'!$D$315)</f>
        <v>Y (15 July 2022)</v>
      </c>
      <c r="D183" cm="1">
        <f t="array" ref="D183">_xlfn.XLOOKUP(A183,'Automation Prepping'!$A$2:'Automation Prepping'!$A$315, 'Automation Prepping'!$F$2:'Automation Prepping'!$F$315)</f>
        <v>0</v>
      </c>
      <c r="F183" cm="1">
        <f t="array" ref="F183">_xlfn.XLOOKUP(A183,'Automation Prepping'!$A$2:'Automation Prepping'!$A$315, 'Automation Prepping'!$H$2:'Automation Prepping'!$H$315)</f>
        <v>0</v>
      </c>
      <c r="L183" t="str" cm="1">
        <f t="array" ref="L183">_xlfn.XLOOKUP(A183,'Automation Prepping'!$A$2:'Automation Prepping'!$A$315, 'Automation Prepping'!$I$2:'Automation Prepping'!$I$315)</f>
        <v>https://advance-lexis-com.ezproxy.library.tufts.edu/search/?pdmfid=1516831&amp;crid=4ad7c6ef-2c68-4810-8549-c20f1e01b19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idelv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84" spans="1:12" ht="16" x14ac:dyDescent="0.2">
      <c r="A184" s="49" t="s">
        <v>517</v>
      </c>
      <c r="B184" s="49" t="s">
        <v>518</v>
      </c>
      <c r="C184" s="63" t="str" cm="1">
        <f t="array" ref="C184">_xlfn.XLOOKUP(A184,'Automation Prepping'!$A$2:'Automation Prepping'!$A$315, 'Automation Prepping'!$D$2:'Automation Prepping'!$D$315)</f>
        <v>N</v>
      </c>
      <c r="D184" t="str" cm="1">
        <f t="array" ref="D184">_xlfn.XLOOKUP(A184,'Automation Prepping'!$A$2:'Automation Prepping'!$A$315, 'Automation Prepping'!$F$2:'Automation Prepping'!$F$315)</f>
        <v>Y</v>
      </c>
      <c r="F184" cm="1">
        <f t="array" ref="F184">_xlfn.XLOOKUP(A184,'Automation Prepping'!$A$2:'Automation Prepping'!$A$315, 'Automation Prepping'!$H$2:'Automation Prepping'!$H$315)</f>
        <v>0</v>
      </c>
      <c r="I184" t="s">
        <v>1448</v>
      </c>
      <c r="L184" t="str" cm="1">
        <f t="array" ref="L184">_xlfn.XLOOKUP(A184,'Automation Prepping'!$A$2:'Automation Prepping'!$A$315, 'Automation Prepping'!$I$2:'Automation Prepping'!$I$315)</f>
        <v>https://advance-lexis-com.ezproxy.library.tufts.edu/search/?pdmfid=1516831&amp;crid=df89cc60-a4b6-40f5-af62-80e7103cb051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Neg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7cf45134-0e9a-4554-acf9-d27cd7fb6e08</v>
      </c>
    </row>
    <row r="185" spans="1:12" ht="32" x14ac:dyDescent="0.2">
      <c r="A185" s="49" t="s">
        <v>520</v>
      </c>
      <c r="B185" s="49" t="s">
        <v>521</v>
      </c>
      <c r="C185" s="63" t="str" cm="1">
        <f t="array" ref="C185">_xlfn.XLOOKUP(A185,'Automation Prepping'!$A$2:'Automation Prepping'!$A$315, 'Automation Prepping'!$D$2:'Automation Prepping'!$D$315)</f>
        <v>N</v>
      </c>
      <c r="D185" t="str" cm="1">
        <f t="array" ref="D185">_xlfn.XLOOKUP(A185,'Automation Prepping'!$A$2:'Automation Prepping'!$A$315, 'Automation Prepping'!$F$2:'Automation Prepping'!$F$315)</f>
        <v>Need Add to 2024</v>
      </c>
      <c r="F185" cm="1">
        <f t="array" ref="F185">_xlfn.XLOOKUP(A185,'Automation Prepping'!$A$2:'Automation Prepping'!$A$315, 'Automation Prepping'!$H$2:'Automation Prepping'!$H$315)</f>
        <v>0</v>
      </c>
      <c r="I185" t="s">
        <v>1450</v>
      </c>
      <c r="L185" t="str" cm="1">
        <f t="array" ref="L185">_xlfn.XLOOKUP(A185,'Automation Prepping'!$A$2:'Automation Prepping'!$A$315, 'Automation Prepping'!$I$2:'Automation Prepping'!$I$315)</f>
        <v>https://advance-lexis-com.ezproxy.library.tufts.edu/search/?pdmfid=1516831&amp;crid=57900f24-29c0-4e62-89a2-5c84c66c053e&amp;pdpsf=&amp;pdpost=&amp;pdstartin=urn%3Ahlct%3A16&amp;oc</v>
      </c>
    </row>
    <row r="186" spans="1:12" ht="16" x14ac:dyDescent="0.2">
      <c r="A186" s="49" t="s">
        <v>523</v>
      </c>
      <c r="B186" s="49" t="s">
        <v>524</v>
      </c>
      <c r="C186" s="63" t="str" cm="1">
        <f t="array" ref="C186">_xlfn.XLOOKUP(A186,'Automation Prepping'!$A$2:'Automation Prepping'!$A$315, 'Automation Prepping'!$D$2:'Automation Prepping'!$D$315)</f>
        <v>N</v>
      </c>
      <c r="D186" t="str" cm="1">
        <f t="array" ref="D186">_xlfn.XLOOKUP(A186,'Automation Prepping'!$A$2:'Automation Prepping'!$A$315, 'Automation Prepping'!$F$2:'Automation Prepping'!$F$315)</f>
        <v>Y</v>
      </c>
      <c r="F186" t="str" cm="1">
        <f t="array" ref="F186">_xlfn.XLOOKUP(A186,'Automation Prepping'!$A$2:'Automation Prepping'!$A$315, 'Automation Prepping'!$H$2:'Automation Prepping'!$H$315)</f>
        <v>Y</v>
      </c>
      <c r="I186" t="s">
        <v>1448</v>
      </c>
      <c r="L186" t="str" cm="1">
        <f t="array" ref="L186">_xlfn.XLOOKUP(A186,'Automation Prepping'!$A$2:'Automation Prepping'!$A$315, 'Automation Prepping'!$I$2:'Automation Prepping'!$I$315)</f>
        <v>https://advance-lexis-com.ezproxy.library.tufts.edu/search/?pdmfid=1516831&amp;crid=6e05b0e1-55e4-4609-a31f-14a690c91110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irba+OR+Lagdo+Reservoir+OR+CAPS(Rey)+OR+O%3ATi-n-Amzi+OR+Milo+OR+Tinkisso+OR+Bagoe+OR+Bani+OR+Baoule+OR+Lac+Do+OR+Lac+Garou+OR+Lac+Aougoundou+OR+Lac+Korarou+OR+Lac+Niangay+OR+Lake+Debo+OR+Vallee+de+L%27azaouak+OR+Dallol+Bosso+OR+Eliki+OR+Mekrou+OR+Dinya+OR+Gongola+OR+Gurara+OR+Ka+OR+Kaduna+OR+Kainj+Lake+OR+Kam+OR+Katsin+a+Ala+OR+Niger+OR+Oli+OR+Sokoto+OR+Taraba+OR+Teshi+OR+Wase+OR+Zamfara+OR+Benu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ef65351d-a502-4433-9460-dc4b0d723102</v>
      </c>
    </row>
    <row r="187" spans="1:12" ht="16" x14ac:dyDescent="0.2">
      <c r="A187" s="49" t="s">
        <v>526</v>
      </c>
      <c r="B187" s="49" t="s">
        <v>525</v>
      </c>
      <c r="C187" s="63" t="str" cm="1">
        <f t="array" ref="C187">_xlfn.XLOOKUP(A187,'Automation Prepping'!$A$2:'Automation Prepping'!$A$315, 'Automation Prepping'!$D$2:'Automation Prepping'!$D$315)</f>
        <v>N</v>
      </c>
      <c r="D187" cm="1">
        <f t="array" ref="D187">_xlfn.XLOOKUP(A187,'Automation Prepping'!$A$2:'Automation Prepping'!$A$315, 'Automation Prepping'!$F$2:'Automation Prepping'!$F$315)</f>
        <v>0</v>
      </c>
      <c r="F187" cm="1">
        <f t="array" ref="F187">_xlfn.XLOOKUP(A187,'Automation Prepping'!$A$2:'Automation Prepping'!$A$315, 'Automation Prepping'!$H$2:'Automation Prepping'!$H$315)</f>
        <v>0</v>
      </c>
      <c r="L187" t="str" cm="1">
        <f t="array" ref="L187">_xlfn.XLOOKUP(A187,'Automation Prepping'!$A$2:'Automation Prepping'!$A$315, 'Automation Prepping'!$I$2:'Automation Prepping'!$I$315)</f>
        <v>No Results</v>
      </c>
    </row>
    <row r="188" spans="1:12" ht="16" x14ac:dyDescent="0.2">
      <c r="A188" s="49" t="s">
        <v>528</v>
      </c>
      <c r="B188" s="49" t="s">
        <v>529</v>
      </c>
      <c r="C188" s="63" t="e" cm="1">
        <f t="array" ref="C188">_xlfn.XLOOKUP(A188,'Automation Prepping'!$A$2:'Automation Prepping'!$A$315, 'Automation Prepping'!$D$2:'Automation Prepping'!$D$315)</f>
        <v>#N/A</v>
      </c>
      <c r="D188" t="e" cm="1">
        <f t="array" ref="D188">_xlfn.XLOOKUP(A188,'Automation Prepping'!$A$2:'Automation Prepping'!$A$315, 'Automation Prepping'!$F$2:'Automation Prepping'!$F$315)</f>
        <v>#N/A</v>
      </c>
      <c r="F188" t="e" cm="1">
        <f t="array" ref="F188">_xlfn.XLOOKUP(A188,'Automation Prepping'!$A$2:'Automation Prepping'!$A$315, 'Automation Prepping'!$H$2:'Automation Prepping'!$H$315)</f>
        <v>#N/A</v>
      </c>
      <c r="L188" t="e" cm="1">
        <f t="array" ref="L188">_xlfn.XLOOKUP(A188,'Automation Prepping'!$A$2:'Automation Prepping'!$A$315, 'Automation Prepping'!$I$2:'Automation Prepping'!$I$315)</f>
        <v>#N/A</v>
      </c>
    </row>
    <row r="189" spans="1:12" ht="16" x14ac:dyDescent="0.2">
      <c r="A189" s="49" t="s">
        <v>531</v>
      </c>
      <c r="B189" s="49" t="s">
        <v>532</v>
      </c>
      <c r="C189" s="63" t="str" cm="1">
        <f t="array" ref="C189">_xlfn.XLOOKUP(A189,'Automation Prepping'!$A$2:'Automation Prepping'!$A$315, 'Automation Prepping'!$D$2:'Automation Prepping'!$D$315)</f>
        <v>N</v>
      </c>
      <c r="D189" t="str" cm="1">
        <f t="array" ref="D189">_xlfn.XLOOKUP(A189,'Automation Prepping'!$A$2:'Automation Prepping'!$A$315, 'Automation Prepping'!$F$2:'Automation Prepping'!$F$315)</f>
        <v>Need Add to 2024</v>
      </c>
      <c r="F189" cm="1">
        <f t="array" ref="F189">_xlfn.XLOOKUP(A189,'Automation Prepping'!$A$2:'Automation Prepping'!$A$315, 'Automation Prepping'!$H$2:'Automation Prepping'!$H$315)</f>
        <v>0</v>
      </c>
      <c r="I189" t="s">
        <v>1448</v>
      </c>
      <c r="L189" t="str" cm="1">
        <f t="array" ref="L189">_xlfn.XLOOKUP(A189,'Automation Prepping'!$A$2:'Automation Prepping'!$A$315, 'Automation Prepping'!$I$2:'Automation Prepping'!$I$315)</f>
        <v>https://advance-lexis-com.ezproxy.library.tufts.edu/search/?pdmfid=1516831&amp;crid=98c387e3-0b58-4bea-a678-a6979296eda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eman+OR+Byarezina+OR+Isloch%27+OR+Kotra+OR+Mowchadz+OR+Shchara+OR+Srislach+OR+Usa+OR+Viliya+OR+Voz.+Narach+OR+Voz.+Srir+OR+Vynya+OR+Zal%27ryanka+OR+Akmend+OR+Dievogala+OR+Dubysa+OR+Dusia+OR+Grauze+OR+Jura+OR+Mitura+OR+Nemunas+OR+Neris+OR+Nevezis+OR+Nova+OR+Obelis+OR+Ova+OR+Sesuris+OR+Striuna+OR+Susre+OR+Sventoj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190" spans="1:12" ht="16" x14ac:dyDescent="0.2">
      <c r="A190" s="49" t="s">
        <v>534</v>
      </c>
      <c r="B190" s="49" t="s">
        <v>533</v>
      </c>
      <c r="C190" s="63" t="str" cm="1">
        <f t="array" ref="C190">_xlfn.XLOOKUP(A190,'Automation Prepping'!$A$2:'Automation Prepping'!$A$315, 'Automation Prepping'!$D$2:'Automation Prepping'!$D$315)</f>
        <v>Y (15 July 2022)</v>
      </c>
      <c r="D190" t="str" cm="1">
        <f t="array" ref="D190">_xlfn.XLOOKUP(A190,'Automation Prepping'!$A$2:'Automation Prepping'!$A$315, 'Automation Prepping'!$F$2:'Automation Prepping'!$F$315)</f>
        <v>Y</v>
      </c>
      <c r="F190" t="str" cm="1">
        <f t="array" ref="F190">_xlfn.XLOOKUP(A190,'Automation Prepping'!$A$2:'Automation Prepping'!$A$315, 'Automation Prepping'!$H$2:'Automation Prepping'!$H$315)</f>
        <v>Y</v>
      </c>
      <c r="L190" t="str" cm="1">
        <f t="array" ref="L190">_xlfn.XLOOKUP(A190,'Automation Prepping'!$A$2:'Automation Prepping'!$A$315, 'Automation Prepping'!$I$2:'Automation Prepping'!$I$315)</f>
        <v>https://advance-lexis-com.ezproxy.library.tufts.edu/search/?pdmfid=1516831&amp;crid=98b06ce5-5956-4cde-91c2-3e1d600b69c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eretv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23f3da92-673e-45a2-9b9e-22ed73f58158</v>
      </c>
    </row>
    <row r="191" spans="1:12" ht="16" x14ac:dyDescent="0.2">
      <c r="A191" s="49" t="s">
        <v>536</v>
      </c>
      <c r="B191" s="49" t="s">
        <v>537</v>
      </c>
      <c r="C191" s="63" t="str" cm="1">
        <f t="array" ref="C191">_xlfn.XLOOKUP(A191,'Automation Prepping'!$A$2:'Automation Prepping'!$A$315, 'Automation Prepping'!$D$2:'Automation Prepping'!$D$315)</f>
        <v>Y (15 July 2022)</v>
      </c>
      <c r="D191" t="str" cm="1">
        <f t="array" ref="D191">_xlfn.XLOOKUP(A191,'Automation Prepping'!$A$2:'Automation Prepping'!$A$315, 'Automation Prepping'!$F$2:'Automation Prepping'!$F$315)</f>
        <v>Y</v>
      </c>
      <c r="F191" t="str" cm="1">
        <f t="array" ref="F191">_xlfn.XLOOKUP(A191,'Automation Prepping'!$A$2:'Automation Prepping'!$A$315, 'Automation Prepping'!$H$2:'Automation Prepping'!$H$315)</f>
        <v>Y</v>
      </c>
      <c r="L191" t="str" cm="1">
        <f t="array" ref="L191">_xlfn.XLOOKUP(A191,'Automation Prepping'!$A$2:'Automation Prepping'!$A$315, 'Automation Prepping'!$I$2:'Automation Prepping'!$I$315)</f>
        <v>https://advance-lexis-com.ezproxy.library.tufts.edu/search/?pdmfid=1516831&amp;crid=c27ebd1d-9e16-4966-ab7f-939e80efa3d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rva+OR+Peipus+OR+Vohandu+OR+Cherekha+OR+Kuchva+OR+L.Peipus+OR+Chudskoye+Ozero+OR+Pskovskoye+Ozero+OR+Sinyaya+OR+Utroya+OR+Velika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192" spans="1:12" ht="16" x14ac:dyDescent="0.2">
      <c r="A192" s="49" t="s">
        <v>539</v>
      </c>
      <c r="B192" s="49" t="s">
        <v>540</v>
      </c>
      <c r="C192" s="63" t="str" cm="1">
        <f t="array" ref="C192">_xlfn.XLOOKUP(A192,'Automation Prepping'!$A$2:'Automation Prepping'!$A$315, 'Automation Prepping'!$D$2:'Automation Prepping'!$D$315)</f>
        <v>Y (15 July 2022)</v>
      </c>
      <c r="D192" t="str" cm="1">
        <f t="array" ref="D192">_xlfn.XLOOKUP(A192,'Automation Prepping'!$A$2:'Automation Prepping'!$A$315, 'Automation Prepping'!$F$2:'Automation Prepping'!$F$315)</f>
        <v>Y</v>
      </c>
      <c r="F192" t="str" cm="1">
        <f t="array" ref="F192">_xlfn.XLOOKUP(A192,'Automation Prepping'!$A$2:'Automation Prepping'!$A$315, 'Automation Prepping'!$H$2:'Automation Prepping'!$H$315)</f>
        <v>Y</v>
      </c>
      <c r="L192" t="str" cm="1">
        <f t="array" ref="L192">_xlfn.XLOOKUP(A192,'Automation Prepping'!$A$2:'Automation Prepping'!$A$315, 'Automation Prepping'!$I$2:'Automation Prepping'!$I$315)</f>
        <v>https://advance-lexis-com.ezproxy.library.tufts.edu/search/?pdmfid=1516831&amp;crid=c671ca1f-902b-4c6b-9f06-47061c2f7099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estos+OR+Mylorem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193" spans="1:12" ht="16" x14ac:dyDescent="0.2">
      <c r="A193" s="49" t="s">
        <v>542</v>
      </c>
      <c r="B193" s="49" t="s">
        <v>541</v>
      </c>
      <c r="C193" s="63" t="str" cm="1">
        <f t="array" ref="C193">_xlfn.XLOOKUP(A193,'Automation Prepping'!$A$2:'Automation Prepping'!$A$315, 'Automation Prepping'!$D$2:'Automation Prepping'!$D$315)</f>
        <v>Y (15 July 2022)</v>
      </c>
      <c r="D193" t="str" cm="1">
        <f t="array" ref="D193">_xlfn.XLOOKUP(A193,'Automation Prepping'!$A$2:'Automation Prepping'!$A$315, 'Automation Prepping'!$F$2:'Automation Prepping'!$F$315)</f>
        <v>Y</v>
      </c>
      <c r="F193" t="str" cm="1">
        <f t="array" ref="F193">_xlfn.XLOOKUP(A193,'Automation Prepping'!$A$2:'Automation Prepping'!$A$315, 'Automation Prepping'!$H$2:'Automation Prepping'!$H$315)</f>
        <v>Y</v>
      </c>
      <c r="L193" t="str" cm="1">
        <f t="array" ref="L193">_xlfn.XLOOKUP(A193,'Automation Prepping'!$A$2:'Automation Prepping'!$A$315, 'Automation Prepping'!$I$2:'Automation Prepping'!$I$315)</f>
        <v>https://advance-lexis-com.ezproxy.library.tufts.edu/search/?pdmfid=1516831&amp;crid=6708f9e9-a5b8-494c-b6a4-ac411b30b4d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yang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194" spans="1:12" ht="16" x14ac:dyDescent="0.2">
      <c r="A194" s="49" t="s">
        <v>544</v>
      </c>
      <c r="B194" s="49" t="s">
        <v>543</v>
      </c>
      <c r="C194" s="63" t="str" cm="1">
        <f t="array" ref="C194">_xlfn.XLOOKUP(A194,'Automation Prepping'!$A$2:'Automation Prepping'!$A$315, 'Automation Prepping'!$D$2:'Automation Prepping'!$D$315)</f>
        <v>Y (15 July 2022)</v>
      </c>
      <c r="D194" cm="1">
        <f t="array" ref="D194">_xlfn.XLOOKUP(A194,'Automation Prepping'!$A$2:'Automation Prepping'!$A$315, 'Automation Prepping'!$F$2:'Automation Prepping'!$F$315)</f>
        <v>0</v>
      </c>
      <c r="F194" cm="1">
        <f t="array" ref="F194">_xlfn.XLOOKUP(A194,'Automation Prepping'!$A$2:'Automation Prepping'!$A$315, 'Automation Prepping'!$H$2:'Automation Prepping'!$H$315)</f>
        <v>0</v>
      </c>
      <c r="L194" t="str" cm="1">
        <f t="array" ref="L194">_xlfn.XLOOKUP(A194,'Automation Prepping'!$A$2:'Automation Prepping'!$A$315, 'Automation Prepping'!$I$2:'Automation Prepping'!$I$315)</f>
        <v>https://advance-lexis-com.ezproxy.library.tufts.edu/search/?pdmfid=1516831&amp;crid=f5131d31-96b5-43e7-aaff-bba4f4175935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Naryn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195" spans="1:12" ht="16" x14ac:dyDescent="0.2">
      <c r="A195" s="49" t="s">
        <v>546</v>
      </c>
      <c r="B195" s="49" t="s">
        <v>547</v>
      </c>
      <c r="C195" s="63" t="str" cm="1">
        <f t="array" ref="C195">_xlfn.XLOOKUP(A195,'Automation Prepping'!$A$2:'Automation Prepping'!$A$315, 'Automation Prepping'!$D$2:'Automation Prepping'!$D$315)</f>
        <v>N</v>
      </c>
      <c r="D195" t="str" cm="1">
        <f t="array" ref="D195">_xlfn.XLOOKUP(A195,'Automation Prepping'!$A$2:'Automation Prepping'!$A$315, 'Automation Prepping'!$F$2:'Automation Prepping'!$F$315)</f>
        <v>Y</v>
      </c>
      <c r="F195" t="str" cm="1">
        <f t="array" ref="F195">_xlfn.XLOOKUP(A195,'Automation Prepping'!$A$2:'Automation Prepping'!$A$315, 'Automation Prepping'!$H$2:'Automation Prepping'!$H$315)</f>
        <v>Y</v>
      </c>
      <c r="I195" t="s">
        <v>1448</v>
      </c>
      <c r="L195" t="str" cm="1">
        <f t="array" ref="L195">_xlfn.XLOOKUP(A195,'Automation Prepping'!$A$2:'Automation Prepping'!$A$315, 'Automation Prepping'!$I$2:'Automation Prepping'!$I$315)</f>
        <v>https://advance-lexis-com.ezproxy.library.tufts.edu/search/?pdmfid=1516831&amp;crid=970522fd-dbc3-4c91-aa1f-fb3de6c9f61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rtix+OR+Ulungur+Hu+OR+Ertis+OR+Marqukol+OR+Zaysan+Koli+OR+Agan+OR+Chulm+OR+Dem%27yanka+OR+Irtysh+OR+Iset%27+OR+Ishim+OR+Katun%27+OR+Kazum+OR+Ket%27+OR+Koli%27+yegan+OR+Lisitsa+OR+Ob+OR+Om%27+OR+Parabel+OR+Pelym+OR+Rim+OR+Sabun+OR+Tara+OR+Tavda+OR+Tobol+OR+Turtas+OR+Tym+OR+Uluyul+OR+Vagay+OR+Vakh+OR+Vasyug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ccee9752-cea4-445d-95ca-bb08c574434a</v>
      </c>
    </row>
    <row r="196" spans="1:12" ht="16" x14ac:dyDescent="0.2">
      <c r="A196" s="49" t="s">
        <v>549</v>
      </c>
      <c r="B196" s="49" t="s">
        <v>548</v>
      </c>
      <c r="C196" s="63" t="str" cm="1">
        <f t="array" ref="C196">_xlfn.XLOOKUP(A196,'Automation Prepping'!$A$2:'Automation Prepping'!$A$315, 'Automation Prepping'!$D$2:'Automation Prepping'!$D$315)</f>
        <v>Y (15 July 2022)</v>
      </c>
      <c r="D196" cm="1">
        <f t="array" ref="D196">_xlfn.XLOOKUP(A196,'Automation Prepping'!$A$2:'Automation Prepping'!$A$315, 'Automation Prepping'!$F$2:'Automation Prepping'!$F$315)</f>
        <v>0</v>
      </c>
      <c r="F196" cm="1">
        <f t="array" ref="F196">_xlfn.XLOOKUP(A196,'Automation Prepping'!$A$2:'Automation Prepping'!$A$315, 'Automation Prepping'!$H$2:'Automation Prepping'!$H$315)</f>
        <v>0</v>
      </c>
      <c r="L196" t="str" cm="1">
        <f t="array" ref="L196">_xlfn.XLOOKUP(A196,'Automation Prepping'!$A$2:'Automation Prepping'!$A$315, 'Automation Prepping'!$I$2:'Automation Prepping'!$I$315)</f>
        <v>https://advance-lexis-com.ezproxy.library.tufts.edu/search/?pdmfid=1516831&amp;crid=0f5016cb-8257-4a01-9fa7-cef8fdb55227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ed+Bon+Naim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197" spans="1:12" ht="16" x14ac:dyDescent="0.2">
      <c r="A197" s="49" t="s">
        <v>551</v>
      </c>
      <c r="B197" s="49" t="s">
        <v>552</v>
      </c>
      <c r="C197" s="63" t="str" cm="1">
        <f t="array" ref="C197">_xlfn.XLOOKUP(A197,'Automation Prepping'!$A$2:'Automation Prepping'!$A$315, 'Automation Prepping'!$D$2:'Automation Prepping'!$D$315)</f>
        <v>Y (15 July 2022)</v>
      </c>
      <c r="D197" t="str" cm="1">
        <f t="array" ref="D197">_xlfn.XLOOKUP(A197,'Automation Prepping'!$A$2:'Automation Prepping'!$A$315, 'Automation Prepping'!$F$2:'Automation Prepping'!$F$315)</f>
        <v>Y</v>
      </c>
      <c r="F197" t="str" cm="1">
        <f t="array" ref="F197">_xlfn.XLOOKUP(A197,'Automation Prepping'!$A$2:'Automation Prepping'!$A$315, 'Automation Prepping'!$H$2:'Automation Prepping'!$H$315)</f>
        <v>Y</v>
      </c>
      <c r="L197" t="str" cm="1">
        <f t="array" ref="L197">_xlfn.XLOOKUP(A197,'Automation Prepping'!$A$2:'Automation Prepping'!$A$315, 'Automation Prepping'!$I$2:'Automation Prepping'!$I$315)</f>
        <v>https://advance-lexis-com.ezproxy.library.tufts.edu/search/?pdmfid=1516831&amp;crid=c18b9c41-18d1-4b65-bb21-24b8c0b3d9d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der+OR+Lobnicky+potok+OR+Moravice+OR+Barycz+OR+Bobr+OR+Grabia+OR+Kwisa+OR+Matd+Panew+OR+Neisse+OR+Nysaluzyckn+OR+Neris+OR+Notec+OR+Nysa+Klodzka+OR+Obra+OR+Odra+OR+Pliszka+OR+Prosna+OR+Warta+OR+Watna+OR+Widaw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198" spans="1:12" ht="16" x14ac:dyDescent="0.2">
      <c r="A198" s="49" t="s">
        <v>554</v>
      </c>
      <c r="B198" s="49" t="s">
        <v>555</v>
      </c>
      <c r="C198" s="63" t="str" cm="1">
        <f t="array" ref="C198">_xlfn.XLOOKUP(A198,'Automation Prepping'!$A$2:'Automation Prepping'!$A$315, 'Automation Prepping'!$D$2:'Automation Prepping'!$D$315)</f>
        <v>Y (15 July 2022)</v>
      </c>
      <c r="D198" t="str" cm="1">
        <f t="array" ref="D198">_xlfn.XLOOKUP(A198,'Automation Prepping'!$A$2:'Automation Prepping'!$A$315, 'Automation Prepping'!$F$2:'Automation Prepping'!$F$315)</f>
        <v>Y</v>
      </c>
      <c r="F198" t="str" cm="1">
        <f t="array" ref="F198">_xlfn.XLOOKUP(A198,'Automation Prepping'!$A$2:'Automation Prepping'!$A$315, 'Automation Prepping'!$H$2:'Automation Prepping'!$H$315)</f>
        <v>Y</v>
      </c>
      <c r="L198" t="str" cm="1">
        <f t="array" ref="L198">_xlfn.XLOOKUP(A198,'Automation Prepping'!$A$2:'Automation Prepping'!$A$315, 'Automation Prepping'!$I$2:'Automation Prepping'!$I$315)</f>
        <v>https://advance-lexis-com.ezproxy.library.tufts.edu/search/?pdmfid=1516831&amp;crid=4cfc784a-568d-46af-a863-6d0bd0cf2e68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gooue+OR+Abanga+OR+Aina+OR+Djadie+OR+Djouah+OR+Ikoy+OR+Ivindo+OR+Leconi+OR+Lolo+OR+Mvoung+OR+Ngounie+OR+Offoue+OR+Ouah+OR+Seb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199" spans="1:12" ht="16" x14ac:dyDescent="0.2">
      <c r="A199" s="49" t="s">
        <v>557</v>
      </c>
      <c r="B199" s="49" t="s">
        <v>558</v>
      </c>
      <c r="C199" s="63" t="str" cm="1">
        <f t="array" ref="C199">_xlfn.XLOOKUP(A199,'Automation Prepping'!$A$2:'Automation Prepping'!$A$315, 'Automation Prepping'!$D$2:'Automation Prepping'!$D$315)</f>
        <v>Y (15 July 2022)</v>
      </c>
      <c r="D199" t="str" cm="1">
        <f t="array" ref="D199">_xlfn.XLOOKUP(A199,'Automation Prepping'!$A$2:'Automation Prepping'!$A$315, 'Automation Prepping'!$F$2:'Automation Prepping'!$F$315)</f>
        <v>Y</v>
      </c>
      <c r="F199" t="str" cm="1">
        <f t="array" ref="F199">_xlfn.XLOOKUP(A199,'Automation Prepping'!$A$2:'Automation Prepping'!$A$315, 'Automation Prepping'!$H$2:'Automation Prepping'!$H$315)</f>
        <v>Y</v>
      </c>
      <c r="L199" t="str" cm="1">
        <f t="array" ref="L199">_xlfn.XLOOKUP(A199,'Automation Prepping'!$A$2:'Automation Prepping'!$A$315, 'Automation Prepping'!$I$2:'Automation Prepping'!$I$315)</f>
        <v>https://advance-lexis-com.ezproxy.library.tufts.edu/search/?pdmfid=1516831&amp;crid=da3846c3-e90d-4e7d-a955-cab4ffd3afd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kavango+OR+Cuatir+OR+Cuito+OR+Makgadikgadi+Pans+OR+Tandaue+OR+Boteti+OR+Lake+Ngami+OR+Lake+Xau+OR+Nata+OR+Okvango+Delta+OR+Omatako+OR+Otjozondj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00" spans="1:12" ht="16" x14ac:dyDescent="0.2">
      <c r="A200" s="49" t="s">
        <v>560</v>
      </c>
      <c r="B200" s="49" t="s">
        <v>561</v>
      </c>
      <c r="C200" s="63" t="str" cm="1">
        <f t="array" ref="C200">_xlfn.XLOOKUP(A200,'Automation Prepping'!$A$2:'Automation Prepping'!$A$315, 'Automation Prepping'!$D$2:'Automation Prepping'!$D$315)</f>
        <v>Y (15 July 2022)</v>
      </c>
      <c r="D200" t="str" cm="1">
        <f t="array" ref="D200">_xlfn.XLOOKUP(A200,'Automation Prepping'!$A$2:'Automation Prepping'!$A$315, 'Automation Prepping'!$F$2:'Automation Prepping'!$F$315)</f>
        <v>Y</v>
      </c>
      <c r="F200" t="str" cm="1">
        <f t="array" ref="F200">_xlfn.XLOOKUP(A200,'Automation Prepping'!$A$2:'Automation Prepping'!$A$315, 'Automation Prepping'!$H$2:'Automation Prepping'!$H$315)</f>
        <v>Y</v>
      </c>
      <c r="L200" t="str" cm="1">
        <f t="array" ref="L200">_xlfn.XLOOKUP(A200,'Automation Prepping'!$A$2:'Automation Prepping'!$A$315, 'Automation Prepping'!$I$2:'Automation Prepping'!$I$315)</f>
        <v>https://advance-lexis-com.ezproxy.library.tufts.edu/search/?pdmfid=1516831&amp;crid=7ac1ba5c-dce6-4b2e-a7c1-2c85fe3c655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langa+OR+Iijoki+OR+Oulujoki+OR+Pya+Ozer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01" spans="1:12" ht="16" x14ac:dyDescent="0.2">
      <c r="A201" s="49" t="s">
        <v>564</v>
      </c>
      <c r="B201" s="49" t="s">
        <v>565</v>
      </c>
      <c r="C201" s="63" t="str" cm="1">
        <f t="array" ref="C201">_xlfn.XLOOKUP(A201,'Automation Prepping'!$A$2:'Automation Prepping'!$A$315, 'Automation Prepping'!$D$2:'Automation Prepping'!$D$315)</f>
        <v>N</v>
      </c>
      <c r="D201" t="str" cm="1">
        <f t="array" ref="D201">_xlfn.XLOOKUP(A201,'Automation Prepping'!$A$2:'Automation Prepping'!$A$315, 'Automation Prepping'!$F$2:'Automation Prepping'!$F$315)</f>
        <v>Y</v>
      </c>
      <c r="F201" cm="1">
        <f t="array" ref="F201">_xlfn.XLOOKUP(A201,'Automation Prepping'!$A$2:'Automation Prepping'!$A$315, 'Automation Prepping'!$H$2:'Automation Prepping'!$H$315)</f>
        <v>0</v>
      </c>
      <c r="L201" cm="1">
        <f t="array" ref="L201">_xlfn.XLOOKUP(A201,'Automation Prepping'!$A$2:'Automation Prepping'!$A$315, 'Automation Prepping'!$I$2:'Automation Prepping'!$I$315)</f>
        <v>0</v>
      </c>
    </row>
    <row r="202" spans="1:12" ht="16" x14ac:dyDescent="0.2">
      <c r="A202" s="49" t="s">
        <v>567</v>
      </c>
      <c r="B202" s="49" t="s">
        <v>568</v>
      </c>
      <c r="C202" s="63" t="str" cm="1">
        <f t="array" ref="C202">_xlfn.XLOOKUP(A202,'Automation Prepping'!$A$2:'Automation Prepping'!$A$315, 'Automation Prepping'!$D$2:'Automation Prepping'!$D$315)</f>
        <v>N</v>
      </c>
      <c r="D202" t="str" cm="1">
        <f t="array" ref="D202">_xlfn.XLOOKUP(A202,'Automation Prepping'!$A$2:'Automation Prepping'!$A$315, 'Automation Prepping'!$F$2:'Automation Prepping'!$F$315)</f>
        <v>Y</v>
      </c>
      <c r="F202" cm="1">
        <f t="array" ref="F202">_xlfn.XLOOKUP(A202,'Automation Prepping'!$A$2:'Automation Prepping'!$A$315, 'Automation Prepping'!$H$2:'Automation Prepping'!$H$315)</f>
        <v>0</v>
      </c>
      <c r="I202" t="s">
        <v>1450</v>
      </c>
      <c r="L202" t="str" cm="1">
        <f t="array" ref="L202">_xlfn.XLOOKUP(A202,'Automation Prepping'!$A$2:'Automation Prepping'!$A$315, 'Automation Prepping'!$I$2:'Automation Prepping'!$I$315)</f>
        <v>https://advance-lexis-com.ezproxy.library.tufts.edu/search/?pdmfid=1516831&amp;crid=80a506b2-ef6e-438a-9a5d-9df4db8d4fab&amp;pdpsf=&amp;pdpost=&amp;pdstartin=urn%3Ahlct%3A16&amp;oc</v>
      </c>
    </row>
    <row r="203" spans="1:12" ht="16" x14ac:dyDescent="0.2">
      <c r="A203" s="49" t="s">
        <v>570</v>
      </c>
      <c r="B203" s="49" t="s">
        <v>571</v>
      </c>
      <c r="C203" s="63" t="str" cm="1">
        <f t="array" ref="C203">_xlfn.XLOOKUP(A203,'Automation Prepping'!$A$2:'Automation Prepping'!$A$315, 'Automation Prepping'!$D$2:'Automation Prepping'!$D$315)</f>
        <v>N</v>
      </c>
      <c r="D203" t="str" cm="1">
        <f t="array" ref="D203">_xlfn.XLOOKUP(A203,'Automation Prepping'!$A$2:'Automation Prepping'!$A$315, 'Automation Prepping'!$F$2:'Automation Prepping'!$F$315)</f>
        <v>Need Add to 2024</v>
      </c>
      <c r="F203" cm="1">
        <f t="array" ref="F203">_xlfn.XLOOKUP(A203,'Automation Prepping'!$A$2:'Automation Prepping'!$A$315, 'Automation Prepping'!$H$2:'Automation Prepping'!$H$315)</f>
        <v>0</v>
      </c>
      <c r="I203" t="s">
        <v>1450</v>
      </c>
      <c r="L203" t="str" cm="1">
        <f t="array" ref="L203">_xlfn.XLOOKUP(A203,'Automation Prepping'!$A$2:'Automation Prepping'!$A$315, 'Automation Prepping'!$I$2:'Automation Prepping'!$I$315)</f>
        <v>https://advance-lexis-com.ezproxy.library.tufts.edu/search/?pdmfid=1516831&amp;crid=7d921666-bf51-490b-b355-641da80fc03a&amp;pdpsf=&amp;pdpost=&amp;pdstartin=urn%3Ahlct%3A16&amp;oc</v>
      </c>
    </row>
    <row r="204" spans="1:12" ht="16" x14ac:dyDescent="0.2">
      <c r="A204" s="49" t="s">
        <v>573</v>
      </c>
      <c r="B204" s="49" t="s">
        <v>574</v>
      </c>
      <c r="C204" s="63" t="str" cm="1">
        <f t="array" ref="C204">_xlfn.XLOOKUP(A204,'Automation Prepping'!$A$2:'Automation Prepping'!$A$315, 'Automation Prepping'!$D$2:'Automation Prepping'!$D$315)</f>
        <v>Y (15 July 2022)</v>
      </c>
      <c r="D204" t="str" cm="1">
        <f t="array" ref="D204">_xlfn.XLOOKUP(A204,'Automation Prepping'!$A$2:'Automation Prepping'!$A$315, 'Automation Prepping'!$F$2:'Automation Prepping'!$F$315)</f>
        <v>Y</v>
      </c>
      <c r="F204" t="str" cm="1">
        <f t="array" ref="F204">_xlfn.XLOOKUP(A204,'Automation Prepping'!$A$2:'Automation Prepping'!$A$315, 'Automation Prepping'!$H$2:'Automation Prepping'!$H$315)</f>
        <v>Y</v>
      </c>
      <c r="L204" t="str" cm="1">
        <f t="array" ref="L204">_xlfn.XLOOKUP(A204,'Automation Prepping'!$A$2:'Automation Prepping'!$A$315, 'Automation Prepping'!$I$2:'Automation Prepping'!$I$315)</f>
        <v>https://advance-lexis-com.ezproxy.library.tufts.edu/search/?pdmfid=1516831&amp;crid=5e146866-a5ed-4169-b050-b5debefd54d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eme+OR+Okpa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05" spans="1:12" ht="16" x14ac:dyDescent="0.2">
      <c r="A205" s="49" t="s">
        <v>576</v>
      </c>
      <c r="B205" s="49" t="s">
        <v>575</v>
      </c>
      <c r="C205" s="63" t="str" cm="1">
        <f t="array" ref="C205">_xlfn.XLOOKUP(A205,'Automation Prepping'!$A$2:'Automation Prepping'!$A$315, 'Automation Prepping'!$D$2:'Automation Prepping'!$D$315)</f>
        <v>Y (15 July 2022)</v>
      </c>
      <c r="D205" t="str" cm="1">
        <f t="array" ref="D205">_xlfn.XLOOKUP(A205,'Automation Prepping'!$A$2:'Automation Prepping'!$A$315, 'Automation Prepping'!$F$2:'Automation Prepping'!$F$315)</f>
        <v>Y</v>
      </c>
      <c r="F205" t="str" cm="1">
        <f t="array" ref="F205">_xlfn.XLOOKUP(A205,'Automation Prepping'!$A$2:'Automation Prepping'!$A$315, 'Automation Prepping'!$H$2:'Automation Prepping'!$H$315)</f>
        <v>Y</v>
      </c>
      <c r="L205" t="str" cm="1">
        <f t="array" ref="L205">_xlfn.XLOOKUP(A205,'Automation Prepping'!$A$2:'Automation Prepping'!$A$315, 'Automation Prepping'!$I$2:'Automation Prepping'!$I$315)</f>
        <v>https://advance-lexis-com.ezproxy.library.tufts.edu/search/?pdmfid=1516831&amp;crid=7811835e-93e6-4efb-8320-79951d58b025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ul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06" spans="1:12" ht="32" x14ac:dyDescent="0.2">
      <c r="A206" s="49" t="s">
        <v>578</v>
      </c>
      <c r="B206" s="49" t="s">
        <v>579</v>
      </c>
      <c r="C206" s="63" t="str" cm="1">
        <f t="array" ref="C206">_xlfn.XLOOKUP(A206,'Automation Prepping'!$A$2:'Automation Prepping'!$A$315, 'Automation Prepping'!$D$2:'Automation Prepping'!$D$315)</f>
        <v>Y (15 July 2022)</v>
      </c>
      <c r="D206" cm="1">
        <f t="array" ref="D206">_xlfn.XLOOKUP(A206,'Automation Prepping'!$A$2:'Automation Prepping'!$A$315, 'Automation Prepping'!$F$2:'Automation Prepping'!$F$315)</f>
        <v>0</v>
      </c>
      <c r="F206" cm="1">
        <f t="array" ref="F206">_xlfn.XLOOKUP(A206,'Automation Prepping'!$A$2:'Automation Prepping'!$A$315, 'Automation Prepping'!$H$2:'Automation Prepping'!$H$315)</f>
        <v>0</v>
      </c>
      <c r="L206" t="str" cm="1">
        <f t="array" ref="L206">_xlfn.XLOOKUP(A206,'Automation Prepping'!$A$2:'Automation Prepping'!$A$315, 'Automation Prepping'!$I$2:'Automation Prepping'!$I$315)</f>
        <v>https://advance-lexis-com.ezproxy.library.tufts.edu/search/?pdmfid=1516831&amp;crid=90ce7c9c-5f6a-4d1b-a5dc-04ef0e58f817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Oiapoque+OR+Oyupock+OR+Camop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07" spans="1:12" ht="16" x14ac:dyDescent="0.2">
      <c r="A207" s="49" t="s">
        <v>581</v>
      </c>
      <c r="B207" s="49" t="s">
        <v>580</v>
      </c>
      <c r="C207" s="63" t="str" cm="1">
        <f t="array" ref="C207">_xlfn.XLOOKUP(A207,'Automation Prepping'!$A$2:'Automation Prepping'!$A$315, 'Automation Prepping'!$D$2:'Automation Prepping'!$D$315)</f>
        <v>Y (15 July 2022)</v>
      </c>
      <c r="D207" t="str" cm="1">
        <f t="array" ref="D207">_xlfn.XLOOKUP(A207,'Automation Prepping'!$A$2:'Automation Prepping'!$A$315, 'Automation Prepping'!$F$2:'Automation Prepping'!$F$315)</f>
        <v>Y</v>
      </c>
      <c r="F207" t="str" cm="1">
        <f t="array" ref="F207">_xlfn.XLOOKUP(A207,'Automation Prepping'!$A$2:'Automation Prepping'!$A$315, 'Automation Prepping'!$H$2:'Automation Prepping'!$H$315)</f>
        <v>Y</v>
      </c>
      <c r="L207" t="str" cm="1">
        <f t="array" ref="L207">_xlfn.XLOOKUP(A207,'Automation Prepping'!$A$2:'Automation Prepping'!$A$315, 'Automation Prepping'!$I$2:'Automation Prepping'!$I$315)</f>
        <v>https://advance-lexis-com.ezproxy.library.tufts.edu/search/?pdmfid=1516831&amp;crid=8d67ba69-c28c-494a-afb7-85174eb85f57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ng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08" spans="1:12" ht="16" x14ac:dyDescent="0.2">
      <c r="A208" s="49" t="s">
        <v>583</v>
      </c>
      <c r="B208" s="49" t="s">
        <v>584</v>
      </c>
      <c r="C208" s="63" t="str" cm="1">
        <f t="array" ref="C208">_xlfn.XLOOKUP(A208,'Automation Prepping'!$A$2:'Automation Prepping'!$A$315, 'Automation Prepping'!$D$2:'Automation Prepping'!$D$315)</f>
        <v>N</v>
      </c>
      <c r="D208" t="str" cm="1">
        <f t="array" ref="D208">_xlfn.XLOOKUP(A208,'Automation Prepping'!$A$2:'Automation Prepping'!$A$315, 'Automation Prepping'!$F$2:'Automation Prepping'!$F$315)</f>
        <v>Y</v>
      </c>
      <c r="F208" t="str" cm="1">
        <f t="array" ref="F208">_xlfn.XLOOKUP(A208,'Automation Prepping'!$A$2:'Automation Prepping'!$A$315, 'Automation Prepping'!$H$2:'Automation Prepping'!$H$315)</f>
        <v>Y</v>
      </c>
      <c r="I208" t="s">
        <v>1448</v>
      </c>
      <c r="L208" t="str" cm="1">
        <f t="array" ref="L208">_xlfn.XLOOKUP(A208,'Automation Prepping'!$A$2:'Automation Prepping'!$A$315, 'Automation Prepping'!$I$2:'Automation Prepping'!$I$315)</f>
        <v>https://advance-lexis-com.ezproxy.library.tufts.edu/search/?pdmfid=1516831&amp;crid=e3e10000-b258-4ca4-9eb8-9ea230086a77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Paz))+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bce0cb8f-c516-449a-bf54-2712280d57bf</v>
      </c>
    </row>
    <row r="209" spans="1:12" ht="16" x14ac:dyDescent="0.2">
      <c r="A209" s="49" t="s">
        <v>586</v>
      </c>
      <c r="B209" s="49" t="s">
        <v>585</v>
      </c>
      <c r="C209" s="63" t="str" cm="1">
        <f t="array" ref="C209">_xlfn.XLOOKUP(A209,'Automation Prepping'!$A$2:'Automation Prepping'!$A$315, 'Automation Prepping'!$D$2:'Automation Prepping'!$D$315)</f>
        <v>Y (15 July 2022)</v>
      </c>
      <c r="D209" t="str" cm="1">
        <f t="array" ref="D209">_xlfn.XLOOKUP(A209,'Automation Prepping'!$A$2:'Automation Prepping'!$A$315, 'Automation Prepping'!$F$2:'Automation Prepping'!$F$315)</f>
        <v>Y</v>
      </c>
      <c r="F209" t="str" cm="1">
        <f t="array" ref="F209">_xlfn.XLOOKUP(A209,'Automation Prepping'!$A$2:'Automation Prepping'!$A$315, 'Automation Prepping'!$H$2:'Automation Prepping'!$H$315)</f>
        <v>Y</v>
      </c>
      <c r="L209" t="str" cm="1">
        <f t="array" ref="L209">_xlfn.XLOOKUP(A209,'Automation Prepping'!$A$2:'Automation Prepping'!$A$315, 'Automation Prepping'!$I$2:'Automation Prepping'!$I$315)</f>
        <v>https://advance-lexis-com.ezproxy.library.tufts.edu/search/?pdmfid=1516831&amp;crid=68c8775c-50c4-4ec7-a0ee-8b5ce5e2f68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eschana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10" spans="1:12" ht="16" x14ac:dyDescent="0.2">
      <c r="A210" s="49" t="s">
        <v>588</v>
      </c>
      <c r="B210" s="49" t="s">
        <v>587</v>
      </c>
      <c r="C210" s="63" t="str" cm="1">
        <f t="array" ref="C210">_xlfn.XLOOKUP(A210,'Automation Prepping'!$A$2:'Automation Prepping'!$A$315, 'Automation Prepping'!$D$2:'Automation Prepping'!$D$315)</f>
        <v>Y (15 July 2022)</v>
      </c>
      <c r="D210" t="str" cm="1">
        <f t="array" ref="D210">_xlfn.XLOOKUP(A210,'Automation Prepping'!$A$2:'Automation Prepping'!$A$315, 'Automation Prepping'!$F$2:'Automation Prepping'!$F$315)</f>
        <v>Y</v>
      </c>
      <c r="F210" t="str" cm="1">
        <f t="array" ref="F210">_xlfn.XLOOKUP(A210,'Automation Prepping'!$A$2:'Automation Prepping'!$A$315, 'Automation Prepping'!$H$2:'Automation Prepping'!$H$315)</f>
        <v>Y</v>
      </c>
      <c r="L210" t="str" cm="1">
        <f t="array" ref="L210">_xlfn.XLOOKUP(A210,'Automation Prepping'!$A$2:'Automation Prepping'!$A$315, 'Automation Prepping'!$I$2:'Automation Prepping'!$I$315)</f>
        <v>https://advance-lexis-com.ezproxy.library.tufts.edu/search/?pdmfid=1516831&amp;crid=5d491640-9644-4ff8-a74d-fb50acf4f4e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edernal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11" spans="1:12" ht="16" x14ac:dyDescent="0.2">
      <c r="A211" s="49" t="s">
        <v>591</v>
      </c>
      <c r="B211" s="49" t="s">
        <v>590</v>
      </c>
      <c r="C211" s="63" t="str" cm="1">
        <f t="array" ref="C211">_xlfn.XLOOKUP(A211,'Automation Prepping'!$A$2:'Automation Prepping'!$A$315, 'Automation Prepping'!$D$2:'Automation Prepping'!$D$315)</f>
        <v>Y (15 July 2022)</v>
      </c>
      <c r="D211" cm="1">
        <f t="array" ref="D211">_xlfn.XLOOKUP(A211,'Automation Prepping'!$A$2:'Automation Prepping'!$A$315, 'Automation Prepping'!$F$2:'Automation Prepping'!$F$315)</f>
        <v>0</v>
      </c>
      <c r="F211" cm="1">
        <f t="array" ref="F211">_xlfn.XLOOKUP(A211,'Automation Prepping'!$A$2:'Automation Prepping'!$A$315, 'Automation Prepping'!$H$2:'Automation Prepping'!$H$315)</f>
        <v>0</v>
      </c>
      <c r="L211" t="str" cm="1">
        <f t="array" ref="L211">_xlfn.XLOOKUP(A211,'Automation Prepping'!$A$2:'Automation Prepping'!$A$315, 'Automation Prepping'!$I$2:'Automation Prepping'!$I$315)</f>
        <v>https://advance-lexis-com.ezproxy.library.tufts.edu/search/?pdmfid=1516831&amp;crid=9fbc6098-eacf-4d56-9f7e-e34813e51f4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kch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12" spans="1:12" ht="16" x14ac:dyDescent="0.2">
      <c r="A212" s="49" t="s">
        <v>594</v>
      </c>
      <c r="B212" s="49" t="s">
        <v>593</v>
      </c>
      <c r="C212" s="63" t="str" cm="1">
        <f t="array" ref="C212">_xlfn.XLOOKUP(A212,'Automation Prepping'!$A$2:'Automation Prepping'!$A$315, 'Automation Prepping'!$D$2:'Automation Prepping'!$D$315)</f>
        <v>Y (15 July 2022)</v>
      </c>
      <c r="D212" cm="1">
        <f t="array" ref="D212">_xlfn.XLOOKUP(A212,'Automation Prepping'!$A$2:'Automation Prepping'!$A$315, 'Automation Prepping'!$F$2:'Automation Prepping'!$F$315)</f>
        <v>0</v>
      </c>
      <c r="F212" cm="1">
        <f t="array" ref="F212">_xlfn.XLOOKUP(A212,'Automation Prepping'!$A$2:'Automation Prepping'!$A$315, 'Automation Prepping'!$H$2:'Automation Prepping'!$H$315)</f>
        <v>0</v>
      </c>
      <c r="L212" t="str" cm="1">
        <f t="array" ref="L212">_xlfn.XLOOKUP(A212,'Automation Prepping'!$A$2:'Automation Prepping'!$A$315, 'Automation Prepping'!$I$2:'Automation Prepping'!$I$315)</f>
        <v>https://advance-lexis-com.ezproxy.library.tufts.edu/search/?pdmfid=1516831&amp;crid=ab10ebc5-3eb0-4157-8ace-72ba9dbd54f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oldneva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13" spans="1:12" ht="16" x14ac:dyDescent="0.2">
      <c r="A213" s="49" t="s">
        <v>596</v>
      </c>
      <c r="B213" s="49" t="s">
        <v>595</v>
      </c>
      <c r="C213" s="63" t="str" cm="1">
        <f t="array" ref="C213">_xlfn.XLOOKUP(A213,'Automation Prepping'!$A$2:'Automation Prepping'!$A$315, 'Automation Prepping'!$D$2:'Automation Prepping'!$D$315)</f>
        <v>Y (15 July 2022)</v>
      </c>
      <c r="D213" t="str" cm="1">
        <f t="array" ref="D213">_xlfn.XLOOKUP(A213,'Automation Prepping'!$A$2:'Automation Prepping'!$A$315, 'Automation Prepping'!$F$2:'Automation Prepping'!$F$315)</f>
        <v>Y</v>
      </c>
      <c r="F213" t="str" cm="1">
        <f t="array" ref="F213">_xlfn.XLOOKUP(A213,'Automation Prepping'!$A$2:'Automation Prepping'!$A$315, 'Automation Prepping'!$H$2:'Automation Prepping'!$H$315)</f>
        <v>Y</v>
      </c>
      <c r="L213" t="str" cm="1">
        <f t="array" ref="L213">_xlfn.XLOOKUP(A213,'Automation Prepping'!$A$2:'Automation Prepping'!$A$315, 'Automation Prepping'!$I$2:'Automation Prepping'!$I$315)</f>
        <v>https://advance-lexis-com.ezproxy.library.tufts.edu/search/?pdmfid=1516831&amp;crid=bd132d17-fbad-4575-806c-7cfc8d45d64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le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14" spans="1:12" ht="16" x14ac:dyDescent="0.2">
      <c r="A214" s="49" t="s">
        <v>598</v>
      </c>
      <c r="B214" s="49" t="s">
        <v>597</v>
      </c>
      <c r="C214" s="63" t="str" cm="1">
        <f t="array" ref="C214">_xlfn.XLOOKUP(A214,'Automation Prepping'!$A$2:'Automation Prepping'!$A$315, 'Automation Prepping'!$D$2:'Automation Prepping'!$D$315)</f>
        <v>Y (15 July 2022)</v>
      </c>
      <c r="D214" cm="1">
        <f t="array" ref="D214">_xlfn.XLOOKUP(A214,'Automation Prepping'!$A$2:'Automation Prepping'!$A$315, 'Automation Prepping'!$F$2:'Automation Prepping'!$F$315)</f>
        <v>0</v>
      </c>
      <c r="F214" cm="1">
        <f t="array" ref="F214">_xlfn.XLOOKUP(A214,'Automation Prepping'!$A$2:'Automation Prepping'!$A$315, 'Automation Prepping'!$H$2:'Automation Prepping'!$H$315)</f>
        <v>0</v>
      </c>
      <c r="L214" t="str" cm="1">
        <f t="array" ref="L214">_xlfn.XLOOKUP(A214,'Automation Prepping'!$A$2:'Automation Prepping'!$A$315, 'Automation Prepping'!$I$2:'Automation Prepping'!$I$315)</f>
        <v>https://advance-lexis-com.ezproxy.library.tufts.edu/search/?pdmfid=1516831&amp;crid=196e664b-507b-4def-9318-642d42eab421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ndaru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15" spans="1:12" ht="16" x14ac:dyDescent="0.2">
      <c r="A215" s="49" t="s">
        <v>600</v>
      </c>
      <c r="B215" s="49" t="s">
        <v>601</v>
      </c>
      <c r="C215" s="63" t="str" cm="1">
        <f t="array" ref="C215">_xlfn.XLOOKUP(A215,'Automation Prepping'!$A$2:'Automation Prepping'!$A$315, 'Automation Prepping'!$D$2:'Automation Prepping'!$D$315)</f>
        <v>N</v>
      </c>
      <c r="D215" t="str" cm="1">
        <f t="array" ref="D215">_xlfn.XLOOKUP(A215,'Automation Prepping'!$A$2:'Automation Prepping'!$A$315, 'Automation Prepping'!$F$2:'Automation Prepping'!$F$315)</f>
        <v>Y</v>
      </c>
      <c r="F215" t="str" cm="1">
        <f t="array" ref="F215">_xlfn.XLOOKUP(A215,'Automation Prepping'!$A$2:'Automation Prepping'!$A$315, 'Automation Prepping'!$H$2:'Automation Prepping'!$H$315)</f>
        <v>Y</v>
      </c>
      <c r="I215" t="s">
        <v>1451</v>
      </c>
      <c r="L215" t="str" cm="1">
        <f t="array" ref="L215">_xlfn.XLOOKUP(A215,'Automation Prepping'!$A$2:'Automation Prepping'!$A$315, 'Automation Prepping'!$I$2:'Automation Prepping'!$I$315)</f>
        <v>https://advance-lexis-com.ezproxy.library.tufts.edu/search/?pdmfid=1516831&amp;crid=8a0fc84d-e214-45f9-846a-f220cfdd85e2&amp;pdpsf=&amp;pdpost=&amp;pdstartin=urn%3Ahlct%3A16&amp;oc</v>
      </c>
    </row>
    <row r="216" spans="1:12" ht="16" x14ac:dyDescent="0.2">
      <c r="A216" s="49" t="s">
        <v>604</v>
      </c>
      <c r="B216" s="49" t="s">
        <v>603</v>
      </c>
      <c r="C216" s="63" t="str" cm="1">
        <f t="array" ref="C216">_xlfn.XLOOKUP(A216,'Automation Prepping'!$A$2:'Automation Prepping'!$A$315, 'Automation Prepping'!$D$2:'Automation Prepping'!$D$315)</f>
        <v>Y (15 July 2022)</v>
      </c>
      <c r="D216" cm="1">
        <f t="array" ref="D216">_xlfn.XLOOKUP(A216,'Automation Prepping'!$A$2:'Automation Prepping'!$A$315, 'Automation Prepping'!$F$2:'Automation Prepping'!$F$315)</f>
        <v>0</v>
      </c>
      <c r="F216" cm="1">
        <f t="array" ref="F216">_xlfn.XLOOKUP(A216,'Automation Prepping'!$A$2:'Automation Prepping'!$A$315, 'Automation Prepping'!$H$2:'Automation Prepping'!$H$315)</f>
        <v>0</v>
      </c>
      <c r="L216" t="str" cm="1">
        <f t="array" ref="L216">_xlfn.XLOOKUP(A216,'Automation Prepping'!$A$2:'Automation Prepping'!$A$315, 'Automation Prepping'!$I$2:'Automation Prepping'!$I$315)</f>
        <v>https://advance-lexis-com.ezproxy.library.tufts.edu/search/?pdmfid=1516831&amp;crid=5e45ddf8-eda9-45db-86b4-e36d1ce25430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rohladnaj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17" spans="1:12" ht="16" x14ac:dyDescent="0.2">
      <c r="A217" s="49" t="s">
        <v>606</v>
      </c>
      <c r="B217" s="49" t="s">
        <v>605</v>
      </c>
      <c r="C217" s="63" t="str" cm="1">
        <f t="array" ref="C217">_xlfn.XLOOKUP(A217,'Automation Prepping'!$A$2:'Automation Prepping'!$A$315, 'Automation Prepping'!$D$2:'Automation Prepping'!$D$315)</f>
        <v>Y (15 July 2022)</v>
      </c>
      <c r="D217" t="str" cm="1">
        <f t="array" ref="D217">_xlfn.XLOOKUP(A217,'Automation Prepping'!$A$2:'Automation Prepping'!$A$315, 'Automation Prepping'!$F$2:'Automation Prepping'!$F$315)</f>
        <v>Y</v>
      </c>
      <c r="F217" t="str" cm="1">
        <f t="array" ref="F217">_xlfn.XLOOKUP(A217,'Automation Prepping'!$A$2:'Automation Prepping'!$A$315, 'Automation Prepping'!$H$2:'Automation Prepping'!$H$315)</f>
        <v>Y</v>
      </c>
      <c r="L217" t="str" cm="1">
        <f t="array" ref="L217">_xlfn.XLOOKUP(A217,'Automation Prepping'!$A$2:'Automation Prepping'!$A$315, 'Automation Prepping'!$I$2:'Automation Prepping'!$I$315)</f>
        <v>https://advance-lexis-com.ezproxy.library.tufts.edu/search/?pdmfid=1516831&amp;crid=4c3f093e-ea26-415a-8761-0a1b8ad3e0a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rn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18" spans="1:12" ht="32" x14ac:dyDescent="0.2">
      <c r="A218" s="49" t="s">
        <v>608</v>
      </c>
      <c r="B218" s="49" t="s">
        <v>607</v>
      </c>
      <c r="C218" s="63" t="str" cm="1">
        <f t="array" ref="C218">_xlfn.XLOOKUP(A218,'Automation Prepping'!$A$2:'Automation Prepping'!$A$315, 'Automation Prepping'!$D$2:'Automation Prepping'!$D$315)</f>
        <v>Y (20 October 2021)</v>
      </c>
      <c r="D218" t="str" cm="1">
        <f t="array" ref="D218">_xlfn.XLOOKUP(A218,'Automation Prepping'!$A$2:'Automation Prepping'!$A$315, 'Automation Prepping'!$F$2:'Automation Prepping'!$F$315)</f>
        <v>Y</v>
      </c>
      <c r="F218" cm="1">
        <f t="array" ref="F218">_xlfn.XLOOKUP(A218,'Automation Prepping'!$A$2:'Automation Prepping'!$A$315, 'Automation Prepping'!$H$2:'Automation Prepping'!$H$315)</f>
        <v>0</v>
      </c>
      <c r="I218" t="s">
        <v>1448</v>
      </c>
      <c r="L218" t="str" cm="1">
        <f t="array" ref="L218">_xlfn.XLOOKUP(A218,'Automation Prepping'!$A$2:'Automation Prepping'!$A$315, 'Automation Prepping'!$I$2:'Automation Prepping'!$I$315)</f>
        <v>https://advance-lexis-com.ezproxy.library.tufts.edu/search/?pdmfid=1516831&amp;crid=2ea6f4e4-1110-4f21-be90-6ed4c62c2c74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scu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5a37053e-c4dc-4d33-b80c-af6f5e1a27f9</v>
      </c>
    </row>
    <row r="219" spans="1:12" ht="16" x14ac:dyDescent="0.2">
      <c r="A219" s="49" t="s">
        <v>612</v>
      </c>
      <c r="B219" s="49" t="s">
        <v>611</v>
      </c>
      <c r="C219" s="63" t="str" cm="1">
        <f t="array" ref="C219">_xlfn.XLOOKUP(A219,'Automation Prepping'!$A$2:'Automation Prepping'!$A$315, 'Automation Prepping'!$D$2:'Automation Prepping'!$D$315)</f>
        <v>Y (15 July 2022)</v>
      </c>
      <c r="D219" t="str" cm="1">
        <f t="array" ref="D219">_xlfn.XLOOKUP(A219,'Automation Prepping'!$A$2:'Automation Prepping'!$A$315, 'Automation Prepping'!$F$2:'Automation Prepping'!$F$315)</f>
        <v>Y</v>
      </c>
      <c r="F219" t="str" cm="1">
        <f t="array" ref="F219">_xlfn.XLOOKUP(A219,'Automation Prepping'!$A$2:'Automation Prepping'!$A$315, 'Automation Prepping'!$H$2:'Automation Prepping'!$H$315)</f>
        <v>Y</v>
      </c>
      <c r="L219" t="str" cm="1">
        <f t="array" ref="L219">_xlfn.XLOOKUP(A219,'Automation Prepping'!$A$2:'Automation Prepping'!$A$315, 'Automation Prepping'!$I$2:'Automation Prepping'!$I$315)</f>
        <v>https://advance-lexis-com.ezproxy.library.tufts.edu/search/?pdmfid=1516831&amp;crid=de0c8be6-9c0c-49ed-9242-a32d3dc59980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so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20" spans="1:12" ht="16" x14ac:dyDescent="0.2">
      <c r="A220" s="49" t="s">
        <v>614</v>
      </c>
      <c r="B220" s="49" t="s">
        <v>615</v>
      </c>
      <c r="C220" s="63" t="str" cm="1">
        <f t="array" ref="C220">_xlfn.XLOOKUP(A220,'Automation Prepping'!$A$2:'Automation Prepping'!$A$315, 'Automation Prepping'!$D$2:'Automation Prepping'!$D$315)</f>
        <v>Y (15 July 2022)</v>
      </c>
      <c r="D220" t="str" cm="1">
        <f t="array" ref="D220">_xlfn.XLOOKUP(A220,'Automation Prepping'!$A$2:'Automation Prepping'!$A$315, 'Automation Prepping'!$F$2:'Automation Prepping'!$F$315)</f>
        <v>Y</v>
      </c>
      <c r="F220" t="str" cm="1">
        <f t="array" ref="F220">_xlfn.XLOOKUP(A220,'Automation Prepping'!$A$2:'Automation Prepping'!$A$315, 'Automation Prepping'!$H$2:'Automation Prepping'!$H$315)</f>
        <v>Y</v>
      </c>
      <c r="L220" t="str" cm="1">
        <f t="array" ref="L220">_xlfn.XLOOKUP(A220,'Automation Prepping'!$A$2:'Automation Prepping'!$A$315, 'Automation Prepping'!$I$2:'Automation Prepping'!$I$315)</f>
        <v>https://advance-lexis-com.ezproxy.library.tufts.edu/search/?pdmfid=1516831&amp;crid=14933658-b64e-4ff2-b901-053624094b7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svik+OR+Inari+OR+Ivalojoki+OR+Vaskojok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21" spans="1:12" ht="16" x14ac:dyDescent="0.2">
      <c r="A221" s="49" t="s">
        <v>617</v>
      </c>
      <c r="B221" s="49" t="s">
        <v>616</v>
      </c>
      <c r="C221" s="63" t="str" cm="1">
        <f t="array" ref="C221">_xlfn.XLOOKUP(A221,'Automation Prepping'!$A$2:'Automation Prepping'!$A$315, 'Automation Prepping'!$D$2:'Automation Prepping'!$D$315)</f>
        <v>Y (15 July 2022)</v>
      </c>
      <c r="D221" t="str" cm="1">
        <f t="array" ref="D221">_xlfn.XLOOKUP(A221,'Automation Prepping'!$A$2:'Automation Prepping'!$A$315, 'Automation Prepping'!$F$2:'Automation Prepping'!$F$315)</f>
        <v>Y</v>
      </c>
      <c r="F221" t="str" cm="1">
        <f t="array" ref="F221">_xlfn.XLOOKUP(A221,'Automation Prepping'!$A$2:'Automation Prepping'!$A$315, 'Automation Prepping'!$H$2:'Automation Prepping'!$H$315)</f>
        <v>Y</v>
      </c>
      <c r="L221" t="str" cm="1">
        <f t="array" ref="L221">_xlfn.XLOOKUP(A221,'Automation Prepping'!$A$2:'Automation Prepping'!$A$315, 'Automation Prepping'!$I$2:'Automation Prepping'!$I$315)</f>
        <v>https://advance-lexis-com.ezproxy.library.tufts.edu/search/?pdmfid=1516831&amp;crid=21c8e3c9-39c8-4cf7-a4b8-5380b2d45bd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at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22" spans="1:12" ht="16" x14ac:dyDescent="0.2">
      <c r="A222" s="49" t="s">
        <v>619</v>
      </c>
      <c r="B222" s="49" t="s">
        <v>618</v>
      </c>
      <c r="C222" s="63" t="str" cm="1">
        <f t="array" ref="C222">_xlfn.XLOOKUP(A222,'Automation Prepping'!$A$2:'Automation Prepping'!$A$315, 'Automation Prepping'!$D$2:'Automation Prepping'!$D$315)</f>
        <v>Y (15 July 2022)</v>
      </c>
      <c r="D222" t="str" cm="1">
        <f t="array" ref="D222">_xlfn.XLOOKUP(A222,'Automation Prepping'!$A$2:'Automation Prepping'!$A$315, 'Automation Prepping'!$F$2:'Automation Prepping'!$F$315)</f>
        <v>Y</v>
      </c>
      <c r="F222" t="str" cm="1">
        <f t="array" ref="F222">_xlfn.XLOOKUP(A222,'Automation Prepping'!$A$2:'Automation Prepping'!$A$315, 'Automation Prepping'!$H$2:'Automation Prepping'!$H$315)</f>
        <v>Y</v>
      </c>
      <c r="L222" t="str" cm="1">
        <f t="array" ref="L222">_xlfn.XLOOKUP(A222,'Automation Prepping'!$A$2:'Automation Prepping'!$A$315, 'Automation Prepping'!$I$2:'Automation Prepping'!$I$315)</f>
        <v>https://advance-lexis-com.ezproxy.library.tufts.edu/search/?pdmfid=1516831&amp;crid=86233613-b11d-404e-999c-30a6361c72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uel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23" spans="1:12" ht="16" x14ac:dyDescent="0.2">
      <c r="A223" s="49" t="s">
        <v>621</v>
      </c>
      <c r="B223" s="49" t="s">
        <v>620</v>
      </c>
      <c r="C223" s="63" t="str" cm="1">
        <f t="array" ref="C223">_xlfn.XLOOKUP(A223,'Automation Prepping'!$A$2:'Automation Prepping'!$A$315, 'Automation Prepping'!$D$2:'Automation Prepping'!$D$315)</f>
        <v>N</v>
      </c>
      <c r="D223" t="str" cm="1">
        <f t="array" ref="D223">_xlfn.XLOOKUP(A223,'Automation Prepping'!$A$2:'Automation Prepping'!$A$315, 'Automation Prepping'!$F$2:'Automation Prepping'!$F$315)</f>
        <v>Need Add to 2024</v>
      </c>
      <c r="F223" cm="1">
        <f t="array" ref="F223">_xlfn.XLOOKUP(A223,'Automation Prepping'!$A$2:'Automation Prepping'!$A$315, 'Automation Prepping'!$H$2:'Automation Prepping'!$H$315)</f>
        <v>0</v>
      </c>
      <c r="L223" t="str" cm="1">
        <f t="array" ref="L223">_xlfn.XLOOKUP(A223,'Automation Prepping'!$A$2:'Automation Prepping'!$A$315, 'Automation Prepping'!$I$2:'Automation Prepping'!$I$315)</f>
        <v>https://advance-lexis-com.ezproxy.library.tufts.edu/search/?pdmfid=1516831&amp;crid=5d7c7520-e588-4ffb-832f-41ab60e03f38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u+Lun+T%27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224" spans="1:12" ht="16" x14ac:dyDescent="0.2">
      <c r="A224" s="49" t="s">
        <v>623</v>
      </c>
      <c r="B224" s="49" t="s">
        <v>622</v>
      </c>
      <c r="C224" s="63" t="str" cm="1">
        <f t="array" ref="C224">_xlfn.XLOOKUP(A224,'Automation Prepping'!$A$2:'Automation Prepping'!$A$315, 'Automation Prepping'!$D$2:'Automation Prepping'!$D$315)</f>
        <v>Y (15 July 2022)</v>
      </c>
      <c r="D224" t="str" cm="1">
        <f t="array" ref="D224">_xlfn.XLOOKUP(A224,'Automation Prepping'!$A$2:'Automation Prepping'!$A$315, 'Automation Prepping'!$F$2:'Automation Prepping'!$F$315)</f>
        <v>Y</v>
      </c>
      <c r="F224" t="str" cm="1">
        <f t="array" ref="F224">_xlfn.XLOOKUP(A224,'Automation Prepping'!$A$2:'Automation Prepping'!$A$315, 'Automation Prepping'!$H$2:'Automation Prepping'!$H$315)</f>
        <v>Y</v>
      </c>
      <c r="L224" t="str" cm="1">
        <f t="array" ref="L224">_xlfn.XLOOKUP(A224,'Automation Prepping'!$A$2:'Automation Prepping'!$A$315, 'Automation Prepping'!$I$2:'Automation Prepping'!$I$315)</f>
        <v>https://advance-lexis-com.ezproxy.library.tufts.edu/search/?pdmfid=1516831&amp;crid=77dc1788-475f-43e3-95df-b9abc963ee33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Pungw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25" spans="1:12" ht="16" x14ac:dyDescent="0.2">
      <c r="A225" s="49" t="s">
        <v>625</v>
      </c>
      <c r="B225" s="49" t="s">
        <v>624</v>
      </c>
      <c r="C225" s="63" t="str" cm="1">
        <f t="array" ref="C225">_xlfn.XLOOKUP(A225,'Automation Prepping'!$A$2:'Automation Prepping'!$A$315, 'Automation Prepping'!$D$2:'Automation Prepping'!$D$315)</f>
        <v>N</v>
      </c>
      <c r="D225" t="str" cm="1">
        <f t="array" ref="D225">_xlfn.XLOOKUP(A225,'Automation Prepping'!$A$2:'Automation Prepping'!$A$315, 'Automation Prepping'!$F$2:'Automation Prepping'!$F$315)</f>
        <v>Y</v>
      </c>
      <c r="F225" t="str" cm="1">
        <f t="array" ref="F225">_xlfn.XLOOKUP(A225,'Automation Prepping'!$A$2:'Automation Prepping'!$A$315, 'Automation Prepping'!$H$2:'Automation Prepping'!$H$315)</f>
        <v>Y</v>
      </c>
      <c r="L225" t="str" cm="1">
        <f t="array" ref="L225">_xlfn.XLOOKUP(A225,'Automation Prepping'!$A$2:'Automation Prepping'!$A$315, 'Automation Prepping'!$I$2:'Automation Prepping'!$I$315)</f>
        <v>https://advance-lexis-com.ezproxy.library.tufts.edu/search/?pdmfid=1516831&amp;crid=1313aee7-80c2-41f3-be7a-7d8875e9cb54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Rann+of+Kutc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xxLg9kk&amp;earg=pdpsf&amp;prid=7933c74d-4fd2-41c1-8403-408d4d057d07</v>
      </c>
    </row>
    <row r="226" spans="1:12" ht="16" x14ac:dyDescent="0.2">
      <c r="A226" s="49" t="s">
        <v>627</v>
      </c>
      <c r="B226" s="49" t="s">
        <v>628</v>
      </c>
      <c r="C226" s="63" t="str" cm="1">
        <f t="array" ref="C226">_xlfn.XLOOKUP(A226,'Automation Prepping'!$A$2:'Automation Prepping'!$A$315, 'Automation Prepping'!$D$2:'Automation Prepping'!$D$315)</f>
        <v>N</v>
      </c>
      <c r="D226" t="str" cm="1">
        <f t="array" ref="D226">_xlfn.XLOOKUP(A226,'Automation Prepping'!$A$2:'Automation Prepping'!$A$315, 'Automation Prepping'!$F$2:'Automation Prepping'!$F$315)</f>
        <v>Need Add to 2024</v>
      </c>
      <c r="F226" cm="1">
        <f t="array" ref="F226">_xlfn.XLOOKUP(A226,'Automation Prepping'!$A$2:'Automation Prepping'!$A$315, 'Automation Prepping'!$H$2:'Automation Prepping'!$H$315)</f>
        <v>0</v>
      </c>
      <c r="I226" t="s">
        <v>1448</v>
      </c>
      <c r="L226" t="str" cm="1">
        <f t="array" ref="L226">_xlfn.XLOOKUP(A226,'Automation Prepping'!$A$2:'Automation Prepping'!$A$315, 'Automation Prepping'!$I$2:'Automation Prepping'!$I$315)</f>
        <v>https://advance-lexis-com.ezproxy.library.tufts.edu/search/?pdmfid=1516831&amp;crid=22d4f4e9-971a-469e-9184-20cd2de3455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Red)+OR+Song+Hong+OR+Amo+OR+Babian+OR+Lishe+OR+Lixian+OR+Luzhi+OR+Nanmuli+He+OR+Nanpan+Jiang+OR+Nanpanjiang+OR+Tangqiao+He+OR+Xida+He+OR+Chay+OR+CAPS(Da)+OR+Gam+OR+Kim+OR+Lo+OR+Luc+Ngan+OR+CAPS(Ma)+OR+Meuk+OR+CAPS(Na)+OR+Nhi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f28babb1-77e4-4a27-a680-fce086decbf4</v>
      </c>
    </row>
    <row r="227" spans="1:12" ht="16" x14ac:dyDescent="0.2">
      <c r="A227" s="49" t="s">
        <v>631</v>
      </c>
      <c r="B227" s="49" t="s">
        <v>630</v>
      </c>
      <c r="C227" s="63" t="str" cm="1">
        <f t="array" ref="C227">_xlfn.XLOOKUP(A227,'Automation Prepping'!$A$2:'Automation Prepping'!$A$315, 'Automation Prepping'!$D$2:'Automation Prepping'!$D$315)</f>
        <v>N</v>
      </c>
      <c r="D227" cm="1">
        <f t="array" ref="D227">_xlfn.XLOOKUP(A227,'Automation Prepping'!$A$2:'Automation Prepping'!$A$315, 'Automation Prepping'!$F$2:'Automation Prepping'!$F$315)</f>
        <v>0</v>
      </c>
      <c r="F227" cm="1">
        <f t="array" ref="F227">_xlfn.XLOOKUP(A227,'Automation Prepping'!$A$2:'Automation Prepping'!$A$315, 'Automation Prepping'!$H$2:'Automation Prepping'!$H$315)</f>
        <v>0</v>
      </c>
      <c r="L227" t="str" cm="1">
        <f t="array" ref="L227">_xlfn.XLOOKUP(A227,'Automation Prepping'!$A$2:'Automation Prepping'!$A$315, 'Automation Prepping'!$I$2:'Automation Prepping'!$I$315)</f>
        <v>No Results</v>
      </c>
    </row>
    <row r="228" spans="1:12" ht="32" x14ac:dyDescent="0.2">
      <c r="A228" s="49" t="s">
        <v>633</v>
      </c>
      <c r="B228" s="49" t="s">
        <v>634</v>
      </c>
      <c r="C228" s="63" t="str" cm="1">
        <f t="array" ref="C228">_xlfn.XLOOKUP(A228,'Automation Prepping'!$A$2:'Automation Prepping'!$A$315, 'Automation Prepping'!$D$2:'Automation Prepping'!$D$315)</f>
        <v>N</v>
      </c>
      <c r="D228" t="str" cm="1">
        <f t="array" ref="D228">_xlfn.XLOOKUP(A228,'Automation Prepping'!$A$2:'Automation Prepping'!$A$315, 'Automation Prepping'!$F$2:'Automation Prepping'!$F$315)</f>
        <v>In Progress</v>
      </c>
      <c r="F228" cm="1">
        <f t="array" ref="F228">_xlfn.XLOOKUP(A228,'Automation Prepping'!$A$2:'Automation Prepping'!$A$315, 'Automation Prepping'!$H$2:'Automation Prepping'!$H$315)</f>
        <v>0</v>
      </c>
      <c r="L228" t="str" cm="1">
        <f t="array" ref="L228">_xlfn.XLOOKUP(A228,'Automation Prepping'!$A$2:'Automation Prepping'!$A$315, 'Automation Prepping'!$I$2:'Automation Prepping'!$I$315)</f>
        <v>Search button will not work</v>
      </c>
    </row>
    <row r="229" spans="1:12" ht="32" x14ac:dyDescent="0.2">
      <c r="A229" s="49" t="s">
        <v>636</v>
      </c>
      <c r="B229" s="49" t="s">
        <v>637</v>
      </c>
      <c r="C229" s="63" t="str" cm="1">
        <f t="array" ref="C229">_xlfn.XLOOKUP(A229,'Automation Prepping'!$A$2:'Automation Prepping'!$A$315, 'Automation Prepping'!$D$2:'Automation Prepping'!$D$315)</f>
        <v>N</v>
      </c>
      <c r="D229" t="str" cm="1">
        <f t="array" ref="D229">_xlfn.XLOOKUP(A229,'Automation Prepping'!$A$2:'Automation Prepping'!$A$315, 'Automation Prepping'!$F$2:'Automation Prepping'!$F$315)</f>
        <v>Need Add to 2024</v>
      </c>
      <c r="F229" cm="1">
        <f t="array" ref="F229">_xlfn.XLOOKUP(A229,'Automation Prepping'!$A$2:'Automation Prepping'!$A$315, 'Automation Prepping'!$H$2:'Automation Prepping'!$H$315)</f>
        <v>0</v>
      </c>
      <c r="I229" t="s">
        <v>1448</v>
      </c>
      <c r="L229" t="str" cm="1">
        <f t="array" ref="L229">_xlfn.XLOOKUP(A229,'Automation Prepping'!$A$2:'Automation Prepping'!$A$315, 'Automation Prepping'!$I$2:'Automation Prepping'!$I$315)</f>
        <v>https://advance-lexis-com.ezproxy.library.tufts.edu/search/?pdmfid=1516831&amp;crid=3c90d510-e0a3-43d1-9d18-170dc52f03f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CAPS(Rio+Grande)+OR+CAPS(Grande)+OR+Hurtad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230" spans="1:12" ht="16" x14ac:dyDescent="0.2">
      <c r="A230" s="49" t="s">
        <v>639</v>
      </c>
      <c r="B230" s="49" t="s">
        <v>638</v>
      </c>
      <c r="C230" s="63" t="str" cm="1">
        <f t="array" ref="C230">_xlfn.XLOOKUP(A230,'Automation Prepping'!$A$2:'Automation Prepping'!$A$315, 'Automation Prepping'!$D$2:'Automation Prepping'!$D$315)</f>
        <v>N</v>
      </c>
      <c r="D230" cm="1">
        <f t="array" ref="D230">_xlfn.XLOOKUP(A230,'Automation Prepping'!$A$2:'Automation Prepping'!$A$315, 'Automation Prepping'!$F$2:'Automation Prepping'!$F$315)</f>
        <v>0</v>
      </c>
      <c r="F230" cm="1">
        <f t="array" ref="F230">_xlfn.XLOOKUP(A230,'Automation Prepping'!$A$2:'Automation Prepping'!$A$315, 'Automation Prepping'!$H$2:'Automation Prepping'!$H$315)</f>
        <v>0</v>
      </c>
      <c r="L230" t="str" cm="1">
        <f t="array" ref="L230">_xlfn.XLOOKUP(A230,'Automation Prepping'!$A$2:'Automation Prepping'!$A$315, 'Automation Prepping'!$I$2:'Automation Prepping'!$I$315)</f>
        <v>No Results</v>
      </c>
    </row>
    <row r="231" spans="1:12" ht="16" x14ac:dyDescent="0.2">
      <c r="A231" s="49" t="s">
        <v>641</v>
      </c>
      <c r="B231" s="49" t="s">
        <v>642</v>
      </c>
      <c r="C231" s="63" t="str" cm="1">
        <f t="array" ref="C231">_xlfn.XLOOKUP(A231,'Automation Prepping'!$A$2:'Automation Prepping'!$A$315, 'Automation Prepping'!$D$2:'Automation Prepping'!$D$315)</f>
        <v>N</v>
      </c>
      <c r="D231" cm="1">
        <f t="array" ref="D231">_xlfn.XLOOKUP(A231,'Automation Prepping'!$A$2:'Automation Prepping'!$A$315, 'Automation Prepping'!$F$2:'Automation Prepping'!$F$315)</f>
        <v>0</v>
      </c>
      <c r="F231" cm="1">
        <f t="array" ref="F231">_xlfn.XLOOKUP(A231,'Automation Prepping'!$A$2:'Automation Prepping'!$A$315, 'Automation Prepping'!$H$2:'Automation Prepping'!$H$315)</f>
        <v>0</v>
      </c>
      <c r="L231" cm="1">
        <f t="array" ref="L231">_xlfn.XLOOKUP(A231,'Automation Prepping'!$A$2:'Automation Prepping'!$A$315, 'Automation Prepping'!$I$2:'Automation Prepping'!$I$315)</f>
        <v>0</v>
      </c>
    </row>
    <row r="232" spans="1:12" ht="16" x14ac:dyDescent="0.2">
      <c r="A232" s="49" t="s">
        <v>644</v>
      </c>
      <c r="B232" s="49" t="s">
        <v>645</v>
      </c>
      <c r="C232" s="63" t="str" cm="1">
        <f t="array" ref="C232">_xlfn.XLOOKUP(A232,'Automation Prepping'!$A$2:'Automation Prepping'!$A$315, 'Automation Prepping'!$D$2:'Automation Prepping'!$D$315)</f>
        <v>N</v>
      </c>
      <c r="D232" t="str" cm="1">
        <f t="array" ref="D232">_xlfn.XLOOKUP(A232,'Automation Prepping'!$A$2:'Automation Prepping'!$A$315, 'Automation Prepping'!$F$2:'Automation Prepping'!$F$315)</f>
        <v>Y</v>
      </c>
      <c r="F232" cm="1">
        <f t="array" ref="F232">_xlfn.XLOOKUP(A232,'Automation Prepping'!$A$2:'Automation Prepping'!$A$315, 'Automation Prepping'!$H$2:'Automation Prepping'!$H$315)</f>
        <v>0</v>
      </c>
      <c r="I232" t="s">
        <v>1448</v>
      </c>
      <c r="L232" t="str" cm="1">
        <f t="array" ref="L232">_xlfn.XLOOKUP(A232,'Automation Prepping'!$A$2:'Automation Prepping'!$A$315, 'Automation Prepping'!$I$2:'Automation Prepping'!$I$315)</f>
        <v>https://advance-lexis-com.ezproxy.library.tufts.edu/search/?pdmfid=1516831&amp;crid=ebf6eeee-69af-4dde-90b1-959f8f3e3fb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ake+Geneva+OR+CAPS(Rotten)+OR+Aigues+OR+Ain+OR+Arc+OR+Ardeche+OR+Arly+OR+Asse+OR+Balaing+OR+Buech+OR+Cenise+OR+Dorinet+OR+Doron+De+Beaufort+OR+Doubs+OR+Drac+OR+Drome+OR+Durance+OR+Eau+D%27Olle+OR+Fier+OR+Flumet+OR+Gees+OR+Geez+OR+Grosne+OR+Infernet+OR+Lac+d%27anneay+OR+Lac+de+Serre-ponson+OR+Lac+du+Bourget+OR+Lac+Leman+OR+Lone+OR+Poncellamont+OR+Rhone+OR+Riou+OR+Rious+Gras+OR+Romanche+OR+Saone+OR+Torrent+de+la+Sassiere+OR+Verdan+OR+Veyle+OR+Iser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v>
      </c>
    </row>
    <row r="233" spans="1:12" ht="16" x14ac:dyDescent="0.2">
      <c r="A233" s="49" t="s">
        <v>647</v>
      </c>
      <c r="B233" s="49" t="s">
        <v>646</v>
      </c>
      <c r="C233" s="63" t="str" cm="1">
        <f t="array" ref="C233">_xlfn.XLOOKUP(A233,'Automation Prepping'!$A$2:'Automation Prepping'!$A$315, 'Automation Prepping'!$D$2:'Automation Prepping'!$D$315)</f>
        <v>Y (15 July 2022)</v>
      </c>
      <c r="D233" t="str" cm="1">
        <f t="array" ref="D233">_xlfn.XLOOKUP(A233,'Automation Prepping'!$A$2:'Automation Prepping'!$A$315, 'Automation Prepping'!$F$2:'Automation Prepping'!$F$315)</f>
        <v>Y</v>
      </c>
      <c r="F233" t="str" cm="1">
        <f t="array" ref="F233">_xlfn.XLOOKUP(A233,'Automation Prepping'!$A$2:'Automation Prepping'!$A$315, 'Automation Prepping'!$H$2:'Automation Prepping'!$H$315)</f>
        <v>Y</v>
      </c>
      <c r="L233" t="str" cm="1">
        <f t="array" ref="L233">_xlfn.XLOOKUP(A233,'Automation Prepping'!$A$2:'Automation Prepping'!$A$315, 'Automation Prepping'!$I$2:'Automation Prepping'!$I$315)</f>
        <v>https://advance-lexis-com.ezproxy.library.tufts.edu/search/?pdmfid=1516831&amp;crid=5f9d4abe-7f58-4081-92c1-c059e7c6435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Ro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34" spans="1:12" ht="16" x14ac:dyDescent="0.2">
      <c r="A234" s="49" t="s">
        <v>649</v>
      </c>
      <c r="B234" s="49" t="s">
        <v>650</v>
      </c>
      <c r="C234" s="63" t="str" cm="1">
        <f t="array" ref="C234">_xlfn.XLOOKUP(A234,'Automation Prepping'!$A$2:'Automation Prepping'!$A$315, 'Automation Prepping'!$D$2:'Automation Prepping'!$D$315)</f>
        <v>Y (15 July 2022)</v>
      </c>
      <c r="D234" t="str" cm="1">
        <f t="array" ref="D234">_xlfn.XLOOKUP(A234,'Automation Prepping'!$A$2:'Automation Prepping'!$A$315, 'Automation Prepping'!$F$2:'Automation Prepping'!$F$315)</f>
        <v>Y</v>
      </c>
      <c r="F234" t="str" cm="1">
        <f t="array" ref="F234">_xlfn.XLOOKUP(A234,'Automation Prepping'!$A$2:'Automation Prepping'!$A$315, 'Automation Prepping'!$H$2:'Automation Prepping'!$H$315)</f>
        <v>Y</v>
      </c>
      <c r="L234" t="str" cm="1">
        <f t="array" ref="L234">_xlfn.XLOOKUP(A234,'Automation Prepping'!$A$2:'Automation Prepping'!$A$315, 'Automation Prepping'!$I$2:'Automation Prepping'!$I$315)</f>
        <v>https://advance-lexis-com.ezproxy.library.tufts.edu/search/?pdmfid=1516831&amp;crid=c0fd6aac-aac8-4b64-ad2a-25a7269f6745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Ruvuma+OR+Lago+Chinta+OR+Lake+Malawi+OR+Luchulingo+OR+Lugend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35" spans="1:12" ht="16" x14ac:dyDescent="0.2">
      <c r="A235" s="49" t="s">
        <v>652</v>
      </c>
      <c r="B235" s="49" t="s">
        <v>653</v>
      </c>
      <c r="C235" s="63" t="str" cm="1">
        <f t="array" ref="C235">_xlfn.XLOOKUP(A235,'Automation Prepping'!$A$2:'Automation Prepping'!$A$315, 'Automation Prepping'!$D$2:'Automation Prepping'!$D$315)</f>
        <v>N</v>
      </c>
      <c r="D235" t="str" cm="1">
        <f t="array" ref="D235">_xlfn.XLOOKUP(A235,'Automation Prepping'!$A$2:'Automation Prepping'!$A$315, 'Automation Prepping'!$F$2:'Automation Prepping'!$F$315)</f>
        <v>Need Add to 2024</v>
      </c>
      <c r="F235" cm="1">
        <f t="array" ref="F235">_xlfn.XLOOKUP(A235,'Automation Prepping'!$A$2:'Automation Prepping'!$A$315, 'Automation Prepping'!$H$2:'Automation Prepping'!$H$315)</f>
        <v>0</v>
      </c>
      <c r="I235" t="s">
        <v>1448</v>
      </c>
      <c r="L235" t="str" cm="1">
        <f t="array" ref="L235">_xlfn.XLOOKUP(A235,'Automation Prepping'!$A$2:'Automation Prepping'!$A$315, 'Automation Prepping'!$I$2:'Automation Prepping'!$I$315)</f>
        <v>https://advance-lexis-com.ezproxy.library.tufts.edu/search/?pdmfid=1516831&amp;crid=c971f881-d257-4cb1-a728-1a6ccfcd6ed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bi+OR+Lake+Muririkwi+OR+Maroro+OR+Mukwadzi+OR+Munene+OR+Muneni+OR+Musongwa+OR+Mutirikwi+OR+Mutorashanga+OR+Mwarazi+OR+Ngezi+OR+Odzani+OR+Odzi+OR+Runde+OR+Squatodz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236" spans="1:12" ht="16" x14ac:dyDescent="0.2">
      <c r="A236" s="49" t="s">
        <v>655</v>
      </c>
      <c r="B236" s="49" t="s">
        <v>654</v>
      </c>
      <c r="C236" s="63" t="str" cm="1">
        <f t="array" ref="C236">_xlfn.XLOOKUP(A236,'Automation Prepping'!$A$2:'Automation Prepping'!$A$315, 'Automation Prepping'!$D$2:'Automation Prepping'!$D$315)</f>
        <v>N</v>
      </c>
      <c r="D236" t="str" cm="1">
        <f t="array" ref="D236">_xlfn.XLOOKUP(A236,'Automation Prepping'!$A$2:'Automation Prepping'!$A$315, 'Automation Prepping'!$F$2:'Automation Prepping'!$F$315)</f>
        <v>Y</v>
      </c>
      <c r="F236" t="str" cm="1">
        <f t="array" ref="F236">_xlfn.XLOOKUP(A236,'Automation Prepping'!$A$2:'Automation Prepping'!$A$315, 'Automation Prepping'!$H$2:'Automation Prepping'!$H$315)</f>
        <v>Y</v>
      </c>
      <c r="I236" t="s">
        <v>1448</v>
      </c>
      <c r="L236" t="str" cm="1">
        <f t="array" ref="L236">_xlfn.XLOOKUP(A236,'Automation Prepping'!$A$2:'Automation Prepping'!$A$315, 'Automation Prepping'!$I$2:'Automation Prepping'!$I$315)</f>
        <v>https://advance-lexis-com.ezproxy.library.tufts.edu/search/?pdmfid=1516831&amp;crid=e8b4ae7a-b916-43d6-acdf-10afe2255084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ta+Clar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v>
      </c>
    </row>
    <row r="237" spans="1:12" ht="48" x14ac:dyDescent="0.2">
      <c r="A237" s="49" t="s">
        <v>657</v>
      </c>
      <c r="B237" s="49" t="s">
        <v>658</v>
      </c>
      <c r="C237" s="63" t="str" cm="1">
        <f t="array" ref="C237">_xlfn.XLOOKUP(A237,'Automation Prepping'!$A$2:'Automation Prepping'!$A$315, 'Automation Prepping'!$D$2:'Automation Prepping'!$D$315)</f>
        <v>N</v>
      </c>
      <c r="D237" t="str" cm="1">
        <f t="array" ref="D237">_xlfn.XLOOKUP(A237,'Automation Prepping'!$A$2:'Automation Prepping'!$A$315, 'Automation Prepping'!$F$2:'Automation Prepping'!$F$315)</f>
        <v>Y</v>
      </c>
      <c r="F237" cm="1">
        <f t="array" ref="F237">_xlfn.XLOOKUP(A237,'Automation Prepping'!$A$2:'Automation Prepping'!$A$315, 'Automation Prepping'!$H$2:'Automation Prepping'!$H$315)</f>
        <v>0</v>
      </c>
      <c r="L237" cm="1">
        <f t="array" ref="L237">_xlfn.XLOOKUP(A237,'Automation Prepping'!$A$2:'Automation Prepping'!$A$315, 'Automation Prepping'!$I$2:'Automation Prepping'!$I$315)</f>
        <v>0</v>
      </c>
    </row>
    <row r="238" spans="1:12" ht="16" x14ac:dyDescent="0.2">
      <c r="A238" s="49" t="s">
        <v>660</v>
      </c>
      <c r="B238" s="49" t="s">
        <v>659</v>
      </c>
      <c r="C238" s="63" t="str" cm="1">
        <f t="array" ref="C238">_xlfn.XLOOKUP(A238,'Automation Prepping'!$A$2:'Automation Prepping'!$A$315, 'Automation Prepping'!$D$2:'Automation Prepping'!$D$315)</f>
        <v>Y (15 July 2022)</v>
      </c>
      <c r="D238" t="str" cm="1">
        <f t="array" ref="D238">_xlfn.XLOOKUP(A238,'Automation Prepping'!$A$2:'Automation Prepping'!$A$315, 'Automation Prepping'!$F$2:'Automation Prepping'!$F$315)</f>
        <v>Y</v>
      </c>
      <c r="F238" t="str" cm="1">
        <f t="array" ref="F238">_xlfn.XLOOKUP(A238,'Automation Prepping'!$A$2:'Automation Prepping'!$A$315, 'Automation Prepping'!$H$2:'Automation Prepping'!$H$315)</f>
        <v>Y</v>
      </c>
      <c r="L238" t="str" cm="1">
        <f t="array" ref="L238">_xlfn.XLOOKUP(A238,'Automation Prepping'!$A$2:'Automation Prepping'!$A$315, 'Automation Prepping'!$I$2:'Automation Prepping'!$I$315)</f>
        <v>https://advance-lexis-com.ezproxy.library.tufts.edu/search/?pdmfid=1516831&amp;crid=1b18db1e-56ce-4c01-b34a-9d377a26da07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la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39" spans="1:12" ht="16" x14ac:dyDescent="0.2">
      <c r="A239" s="49" t="s">
        <v>662</v>
      </c>
      <c r="B239" s="49" t="s">
        <v>663</v>
      </c>
      <c r="C239" s="63" t="str" cm="1">
        <f t="array" ref="C239">_xlfn.XLOOKUP(A239,'Automation Prepping'!$A$2:'Automation Prepping'!$A$315, 'Automation Prepping'!$D$2:'Automation Prepping'!$D$315)</f>
        <v>N</v>
      </c>
      <c r="D239" t="str" cm="1">
        <f t="array" ref="D239">_xlfn.XLOOKUP(A239,'Automation Prepping'!$A$2:'Automation Prepping'!$A$315, 'Automation Prepping'!$F$2:'Automation Prepping'!$F$315)</f>
        <v>Y</v>
      </c>
      <c r="F239" t="str" cm="1">
        <f t="array" ref="F239">_xlfn.XLOOKUP(A239,'Automation Prepping'!$A$2:'Automation Prepping'!$A$315, 'Automation Prepping'!$H$2:'Automation Prepping'!$H$315)</f>
        <v>Y</v>
      </c>
      <c r="I239" t="s">
        <v>1448</v>
      </c>
      <c r="L239" t="str" cm="1">
        <f t="array" ref="L239">_xlfn.XLOOKUP(A239,'Automation Prepping'!$A$2:'Automation Prepping'!$A$315, 'Automation Prepping'!$I$2:'Automation Prepping'!$I$315)</f>
        <v>https://advance-lexis-com.ezproxy.library.tufts.edu/search/?pdmfid=1516831&amp;crid=5d295067-1e30-4597-bae4-770919553d23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lween+OR+Kuke+OR+Hsim+OR+Inle+Lake+OR+CAPS(Ma)+OR+Nanding+OR+Pang+OR+Pawn+OR+Pilu+OR+Teng+OR+Moei+OR+Na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2dd21e56-25d2-4b5e-8616-173714335388</v>
      </c>
    </row>
    <row r="240" spans="1:12" ht="16" x14ac:dyDescent="0.2">
      <c r="A240" s="49" t="s">
        <v>665</v>
      </c>
      <c r="B240" s="49" t="s">
        <v>664</v>
      </c>
      <c r="C240" s="63" t="str" cm="1">
        <f t="array" ref="C240">_xlfn.XLOOKUP(A240,'Automation Prepping'!$A$2:'Automation Prepping'!$A$315, 'Automation Prepping'!$D$2:'Automation Prepping'!$D$315)</f>
        <v>Y (15 July 2022)</v>
      </c>
      <c r="D240" t="str" cm="1">
        <f t="array" ref="D240">_xlfn.XLOOKUP(A240,'Automation Prepping'!$A$2:'Automation Prepping'!$A$315, 'Automation Prepping'!$F$2:'Automation Prepping'!$F$315)</f>
        <v>Y</v>
      </c>
      <c r="F240" t="str" cm="1">
        <f t="array" ref="F240">_xlfn.XLOOKUP(A240,'Automation Prepping'!$A$2:'Automation Prepping'!$A$315, 'Automation Prepping'!$H$2:'Automation Prepping'!$H$315)</f>
        <v>Y</v>
      </c>
      <c r="L240" t="str" cm="1">
        <f t="array" ref="L240">_xlfn.XLOOKUP(A240,'Automation Prepping'!$A$2:'Automation Prepping'!$A$315, 'Automation Prepping'!$I$2:'Automation Prepping'!$I$315)</f>
        <v>https://advance-lexis-com.ezproxy.library.tufts.edu/search/?pdmfid=1516831&amp;crid=d38a7a3d-73f3-43e4-ade4-893ca07506c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mu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41" spans="1:12" ht="16" x14ac:dyDescent="0.2">
      <c r="A241" s="49" t="s">
        <v>667</v>
      </c>
      <c r="B241" s="49" t="s">
        <v>666</v>
      </c>
      <c r="C241" s="63" t="str" cm="1">
        <f t="array" ref="C241">_xlfn.XLOOKUP(A241,'Automation Prepping'!$A$2:'Automation Prepping'!$A$315, 'Automation Prepping'!$D$2:'Automation Prepping'!$D$315)</f>
        <v>Y (15 July 2022)</v>
      </c>
      <c r="D241" t="str" cm="1">
        <f t="array" ref="D241">_xlfn.XLOOKUP(A241,'Automation Prepping'!$A$2:'Automation Prepping'!$A$315, 'Automation Prepping'!$F$2:'Automation Prepping'!$F$315)</f>
        <v>Y</v>
      </c>
      <c r="F241" t="str" cm="1">
        <f t="array" ref="F241">_xlfn.XLOOKUP(A241,'Automation Prepping'!$A$2:'Automation Prepping'!$A$315, 'Automation Prepping'!$H$2:'Automation Prepping'!$H$315)</f>
        <v>Y</v>
      </c>
      <c r="L241" t="str" cm="1">
        <f t="array" ref="L241">_xlfn.XLOOKUP(A241,'Automation Prepping'!$A$2:'Automation Prepping'!$A$315, 'Automation Prepping'!$I$2:'Automation Prepping'!$I$315)</f>
        <v>https://advance-lexis-com.ezproxy.library.tufts.edu/search/?pdmfid=1516831&amp;crid=2a507866-b737-4212-9b70-5bb06020a8d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ag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42" spans="1:12" ht="16" x14ac:dyDescent="0.2">
      <c r="A242" s="49" t="s">
        <v>669</v>
      </c>
      <c r="B242" s="49" t="s">
        <v>670</v>
      </c>
      <c r="C242" s="63" t="str" cm="1">
        <f t="array" ref="C242">_xlfn.XLOOKUP(A242,'Automation Prepping'!$A$2:'Automation Prepping'!$A$315, 'Automation Prepping'!$D$2:'Automation Prepping'!$D$315)</f>
        <v>N</v>
      </c>
      <c r="D242" t="str" cm="1">
        <f t="array" ref="D242">_xlfn.XLOOKUP(A242,'Automation Prepping'!$A$2:'Automation Prepping'!$A$315, 'Automation Prepping'!$F$2:'Automation Prepping'!$F$315)</f>
        <v>Need Add to 2024</v>
      </c>
      <c r="F242" cm="1">
        <f t="array" ref="F242">_xlfn.XLOOKUP(A242,'Automation Prepping'!$A$2:'Automation Prepping'!$A$315, 'Automation Prepping'!$H$2:'Automation Prepping'!$H$315)</f>
        <v>0</v>
      </c>
      <c r="I242" t="s">
        <v>1448</v>
      </c>
      <c r="L242" t="str" cm="1">
        <f t="array" ref="L242">_xlfn.XLOOKUP(A242,'Automation Prepping'!$A$2:'Automation Prepping'!$A$315, 'Automation Prepping'!$I$2:'Automation Prepping'!$I$315)</f>
        <v>https://advance-lexis-com.ezproxy.library.tufts.edu/search/?pdmfid=1516831&amp;crid=954a9d59-4b8a-45a9-8833-f1d4630751e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ssandra+OR+Lac+de+Buyo+OR+Lobo+OR+Nz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243" spans="1:12" ht="16" x14ac:dyDescent="0.2">
      <c r="A243" s="49" t="s">
        <v>672</v>
      </c>
      <c r="B243" s="49" t="s">
        <v>671</v>
      </c>
      <c r="C243" s="63" t="str" cm="1">
        <f t="array" ref="C243">_xlfn.XLOOKUP(A243,'Automation Prepping'!$A$2:'Automation Prepping'!$A$315, 'Automation Prepping'!$D$2:'Automation Prepping'!$D$315)</f>
        <v>Y (15 July 2022)</v>
      </c>
      <c r="D243" cm="1">
        <f t="array" ref="D243">_xlfn.XLOOKUP(A243,'Automation Prepping'!$A$2:'Automation Prepping'!$A$315, 'Automation Prepping'!$F$2:'Automation Prepping'!$F$315)</f>
        <v>0</v>
      </c>
      <c r="F243" cm="1">
        <f t="array" ref="F243">_xlfn.XLOOKUP(A243,'Automation Prepping'!$A$2:'Automation Prepping'!$A$315, 'Automation Prepping'!$H$2:'Automation Prepping'!$H$315)</f>
        <v>0</v>
      </c>
      <c r="L243" t="str" cm="1">
        <f t="array" ref="L243">_xlfn.XLOOKUP(A243,'Automation Prepping'!$A$2:'Automation Prepping'!$A$315, 'Automation Prepping'!$I$2:'Automation Prepping'!$I$315)</f>
        <v>https://advance-lexis-com.ezproxy.library.tufts.edu/search/?pdmfid=1516831&amp;crid=002f5a41-91e0-45ae-aba2-0cac5b7f1710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buk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44" spans="1:12" ht="16" x14ac:dyDescent="0.2">
      <c r="A244" s="49" t="s">
        <v>674</v>
      </c>
      <c r="B244" s="49" t="s">
        <v>675</v>
      </c>
      <c r="C244" s="63" t="str" cm="1">
        <f t="array" ref="C244">_xlfn.XLOOKUP(A244,'Automation Prepping'!$A$2:'Automation Prepping'!$A$315, 'Automation Prepping'!$D$2:'Automation Prepping'!$D$315)</f>
        <v>N</v>
      </c>
      <c r="D244" t="str" cm="1">
        <f t="array" ref="D244">_xlfn.XLOOKUP(A244,'Automation Prepping'!$A$2:'Automation Prepping'!$A$315, 'Automation Prepping'!$F$2:'Automation Prepping'!$F$315)</f>
        <v>Y</v>
      </c>
      <c r="F244" t="str" cm="1">
        <f t="array" ref="F244">_xlfn.XLOOKUP(A244,'Automation Prepping'!$A$2:'Automation Prepping'!$A$315, 'Automation Prepping'!$H$2:'Automation Prepping'!$H$315)</f>
        <v>Y</v>
      </c>
      <c r="I244" t="s">
        <v>1448</v>
      </c>
      <c r="L244" t="str" cm="1">
        <f t="array" ref="L244">_xlfn.XLOOKUP(A244,'Automation Prepping'!$A$2:'Automation Prepping'!$A$315, 'Automation Prepping'!$I$2:'Automation Prepping'!$I$315)</f>
        <v>https://advance.lexis.com/search/?pdmfid=1516831&amp;crid=91b0ae20-203a-4d28-ad82-609da86e4394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Croix+OR+Chiputneticoo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qxLg9kk&amp;earg=pdpsf&amp;prid=8d142b6a-d4c7-4724-9f85-903874b8df96</v>
      </c>
    </row>
    <row r="245" spans="1:12" ht="16" x14ac:dyDescent="0.2">
      <c r="A245" s="49" t="s">
        <v>677</v>
      </c>
      <c r="B245" s="49" t="s">
        <v>678</v>
      </c>
      <c r="C245" s="63" t="str" cm="1">
        <f t="array" ref="C245">_xlfn.XLOOKUP(A245,'Automation Prepping'!$A$2:'Automation Prepping'!$A$315, 'Automation Prepping'!$D$2:'Automation Prepping'!$D$315)</f>
        <v>N</v>
      </c>
      <c r="D245" t="str" cm="1">
        <f t="array" ref="D245">_xlfn.XLOOKUP(A245,'Automation Prepping'!$A$2:'Automation Prepping'!$A$315, 'Automation Prepping'!$F$2:'Automation Prepping'!$F$315)</f>
        <v>Y</v>
      </c>
      <c r="F245" t="str" cm="1">
        <f t="array" ref="F245">_xlfn.XLOOKUP(A245,'Automation Prepping'!$A$2:'Automation Prepping'!$A$315, 'Automation Prepping'!$H$2:'Automation Prepping'!$H$315)</f>
        <v>Y</v>
      </c>
      <c r="I245" t="s">
        <v>1448</v>
      </c>
      <c r="L245" t="str" cm="1">
        <f t="array" ref="L245">_xlfn.XLOOKUP(A245,'Automation Prepping'!$A$2:'Automation Prepping'!$A$315, 'Automation Prepping'!$I$2:'Automation Prepping'!$I$315)</f>
        <v>https://advance-lexis-com.ezproxy.library.tufts.edu/search/?pdmfid=1516831&amp;crid=dcc26c19-0f12-4f05-85a0-7bc23e7aad4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ine+OR+Aube+OR+Eure+OR+Iton+OR+Marne+OR+Oise+OR+Vanne+OR+Yonn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v>
      </c>
    </row>
    <row r="246" spans="1:12" ht="16" x14ac:dyDescent="0.2">
      <c r="A246" s="49" t="s">
        <v>680</v>
      </c>
      <c r="B246" s="49" t="s">
        <v>681</v>
      </c>
      <c r="C246" s="63" t="str" cm="1">
        <f t="array" ref="C246">_xlfn.XLOOKUP(A246,'Automation Prepping'!$A$2:'Automation Prepping'!$A$315, 'Automation Prepping'!$D$2:'Automation Prepping'!$D$315)</f>
        <v>N</v>
      </c>
      <c r="D246" t="str" cm="1">
        <f t="array" ref="D246">_xlfn.XLOOKUP(A246,'Automation Prepping'!$A$2:'Automation Prepping'!$A$315, 'Automation Prepping'!$F$2:'Automation Prepping'!$F$315)</f>
        <v>Y</v>
      </c>
      <c r="F246" t="str" cm="1">
        <f t="array" ref="F246">_xlfn.XLOOKUP(A246,'Automation Prepping'!$A$2:'Automation Prepping'!$A$315, 'Automation Prepping'!$H$2:'Automation Prepping'!$H$315)</f>
        <v>Y</v>
      </c>
      <c r="I246" t="s">
        <v>1448</v>
      </c>
      <c r="L246" t="str" cm="1">
        <f t="array" ref="L246">_xlfn.XLOOKUP(A246,'Automation Prepping'!$A$2:'Automation Prepping'!$A$315, 'Automation Prepping'!$I$2:'Automation Prepping'!$I$315)</f>
        <v>https://advance-lexis-com.ezproxy.library.tufts.edu/search/?pdmfid=1516831&amp;crid=5dc9bed7-72da-422c-888a-5cee75f5c2c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negal+OR+Bafing+OR+Bakoye+OR+Baoule+OR+Karakoro+OR+Kolimbine+OR+Ouadou+OR+Gorgol+Blanc)+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v>
      </c>
    </row>
    <row r="247" spans="1:12" ht="32" x14ac:dyDescent="0.2">
      <c r="A247" s="49" t="s">
        <v>683</v>
      </c>
      <c r="B247" s="49" t="s">
        <v>684</v>
      </c>
      <c r="C247" s="63" t="str" cm="1">
        <f t="array" ref="C247">_xlfn.XLOOKUP(A247,'Automation Prepping'!$A$2:'Automation Prepping'!$A$315, 'Automation Prepping'!$D$2:'Automation Prepping'!$D$315)</f>
        <v>N</v>
      </c>
      <c r="D247" t="str" cm="1">
        <f t="array" ref="D247">_xlfn.XLOOKUP(A247,'Automation Prepping'!$A$2:'Automation Prepping'!$A$315, 'Automation Prepping'!$F$2:'Automation Prepping'!$F$315)</f>
        <v>Need Add to 2024</v>
      </c>
      <c r="F247" cm="1">
        <f t="array" ref="F247">_xlfn.XLOOKUP(A247,'Automation Prepping'!$A$2:'Automation Prepping'!$A$315, 'Automation Prepping'!$H$2:'Automation Prepping'!$H$315)</f>
        <v>0</v>
      </c>
      <c r="I247" t="s">
        <v>1448</v>
      </c>
      <c r="L247" t="str" cm="1">
        <f t="array" ref="L247">_xlfn.XLOOKUP(A247,'Automation Prepping'!$A$2:'Automation Prepping'!$A$315, 'Automation Prepping'!$I$2:'Automation Prepping'!$I$315)</f>
        <v>https://advance-lexis-com.ezproxy.library.tufts.edu/search/?pdmfid=1516831&amp;crid=404a4723-3730-46ec-826a-fb9b7369bc1d&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no+Union+OR+Serra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248" spans="1:12" ht="16" x14ac:dyDescent="0.2">
      <c r="A248" s="49" t="s">
        <v>686</v>
      </c>
      <c r="B248" s="49" t="s">
        <v>685</v>
      </c>
      <c r="C248" s="63" t="str" cm="1">
        <f t="array" ref="C248">_xlfn.XLOOKUP(A248,'Automation Prepping'!$A$2:'Automation Prepping'!$A$315, 'Automation Prepping'!$D$2:'Automation Prepping'!$D$315)</f>
        <v>Y (15 July 2022)</v>
      </c>
      <c r="D248" t="str" cm="1">
        <f t="array" ref="D248">_xlfn.XLOOKUP(A248,'Automation Prepping'!$A$2:'Automation Prepping'!$A$315, 'Automation Prepping'!$F$2:'Automation Prepping'!$F$315)</f>
        <v>Y</v>
      </c>
      <c r="F248" t="str" cm="1">
        <f t="array" ref="F248">_xlfn.XLOOKUP(A248,'Automation Prepping'!$A$2:'Automation Prepping'!$A$315, 'Automation Prepping'!$H$2:'Automation Prepping'!$H$315)</f>
        <v>Y</v>
      </c>
      <c r="L248" t="str" cm="1">
        <f t="array" ref="L248">_xlfn.XLOOKUP(A248,'Automation Prepping'!$A$2:'Automation Prepping'!$A$315, 'Automation Prepping'!$I$2:'Automation Prepping'!$I$315)</f>
        <v>https://advance-lexis-com.ezproxy.library.tufts.edu/search/?pdmfid=1516831&amp;crid=bc1be37c-4eeb-4d12-b7e4-ddd32c7f1834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pi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49" spans="1:12" ht="16" x14ac:dyDescent="0.2">
      <c r="A249" s="49" t="s">
        <v>688</v>
      </c>
      <c r="B249" s="49" t="s">
        <v>687</v>
      </c>
      <c r="C249" s="63" t="str" cm="1">
        <f t="array" ref="C249">_xlfn.XLOOKUP(A249,'Automation Prepping'!$A$2:'Automation Prepping'!$A$315, 'Automation Prepping'!$D$2:'Automation Prepping'!$D$315)</f>
        <v>N</v>
      </c>
      <c r="D249" cm="1">
        <f t="array" ref="D249">_xlfn.XLOOKUP(A249,'Automation Prepping'!$A$2:'Automation Prepping'!$A$315, 'Automation Prepping'!$F$2:'Automation Prepping'!$F$315)</f>
        <v>0</v>
      </c>
      <c r="F249" cm="1">
        <f t="array" ref="F249">_xlfn.XLOOKUP(A249,'Automation Prepping'!$A$2:'Automation Prepping'!$A$315, 'Automation Prepping'!$H$2:'Automation Prepping'!$H$315)</f>
        <v>0</v>
      </c>
      <c r="L249" t="str" cm="1">
        <f t="array" ref="L249">_xlfn.XLOOKUP(A249,'Automation Prepping'!$A$2:'Automation Prepping'!$A$315, 'Automation Prepping'!$I$2:'Automation Prepping'!$I$315)</f>
        <v>No Results</v>
      </c>
    </row>
    <row r="250" spans="1:12" ht="16" x14ac:dyDescent="0.2">
      <c r="A250" s="49" t="s">
        <v>690</v>
      </c>
      <c r="B250" s="49" t="s">
        <v>691</v>
      </c>
      <c r="C250" s="63" t="str" cm="1">
        <f t="array" ref="C250">_xlfn.XLOOKUP(A250,'Automation Prepping'!$A$2:'Automation Prepping'!$A$315, 'Automation Prepping'!$D$2:'Automation Prepping'!$D$315)</f>
        <v>Y (15 July 2022)</v>
      </c>
      <c r="D250" t="str" cm="1">
        <f t="array" ref="D250">_xlfn.XLOOKUP(A250,'Automation Prepping'!$A$2:'Automation Prepping'!$A$315, 'Automation Prepping'!$F$2:'Automation Prepping'!$F$315)</f>
        <v>Y</v>
      </c>
      <c r="F250" t="str" cm="1">
        <f t="array" ref="F250">_xlfn.XLOOKUP(A250,'Automation Prepping'!$A$2:'Automation Prepping'!$A$315, 'Automation Prepping'!$H$2:'Automation Prepping'!$H$315)</f>
        <v>Y</v>
      </c>
      <c r="L250" t="str" cm="1">
        <f t="array" ref="L250">_xlfn.XLOOKUP(A250,'Automation Prepping'!$A$2:'Automation Prepping'!$A$315, 'Automation Prepping'!$I$2:'Automation Prepping'!$I$315)</f>
        <v>https://advance-lexis-com.ezproxy.library.tufts.edu/search/?pdmfid=1516831&amp;crid=4fe0ab58-11b1-44b3-8aa7-0c04d37344e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chelde+OR+Demer+OR+Dender+OR+Dijle+OR+Rupel)+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51" spans="1:12" ht="16" x14ac:dyDescent="0.2">
      <c r="A251" s="49" t="s">
        <v>693</v>
      </c>
      <c r="B251" s="49" t="s">
        <v>694</v>
      </c>
      <c r="C251" s="63" t="str" cm="1">
        <f t="array" ref="C251">_xlfn.XLOOKUP(A251,'Automation Prepping'!$A$2:'Automation Prepping'!$A$315, 'Automation Prepping'!$D$2:'Automation Prepping'!$D$315)</f>
        <v>N</v>
      </c>
      <c r="D251" t="str" cm="1">
        <f t="array" ref="D251">_xlfn.XLOOKUP(A251,'Automation Prepping'!$A$2:'Automation Prepping'!$A$315, 'Automation Prepping'!$F$2:'Automation Prepping'!$F$315)</f>
        <v>Y</v>
      </c>
      <c r="F251" cm="1">
        <f t="array" ref="F251">_xlfn.XLOOKUP(A251,'Automation Prepping'!$A$2:'Automation Prepping'!$A$315, 'Automation Prepping'!$H$2:'Automation Prepping'!$H$315)</f>
        <v>0</v>
      </c>
      <c r="L251" t="str" cm="1">
        <f t="array" ref="L251">_xlfn.XLOOKUP(A251,'Automation Prepping'!$A$2:'Automation Prepping'!$A$315, 'Automation Prepping'!$I$2:'Automation Prepping'!$I$315)</f>
        <v>https://advance-lexis-com.ezproxy.library.tufts.edu/search/?pdmfid=1516831&amp;crid=5a18ff56-b1ae-4eda-8e87-6c974a868c17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hu+OR+Ch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v>
      </c>
    </row>
    <row r="252" spans="1:12" ht="16" x14ac:dyDescent="0.2">
      <c r="A252" s="49" t="s">
        <v>696</v>
      </c>
      <c r="B252" s="49" t="s">
        <v>695</v>
      </c>
      <c r="C252" s="63" t="str" cm="1">
        <f t="array" ref="C252">_xlfn.XLOOKUP(A252,'Automation Prepping'!$A$2:'Automation Prepping'!$A$315, 'Automation Prepping'!$D$2:'Automation Prepping'!$D$315)</f>
        <v>Y (15 July 2022)</v>
      </c>
      <c r="D252" cm="1">
        <f t="array" ref="D252">_xlfn.XLOOKUP(A252,'Automation Prepping'!$A$2:'Automation Prepping'!$A$315, 'Automation Prepping'!$F$2:'Automation Prepping'!$F$315)</f>
        <v>0</v>
      </c>
      <c r="F252" cm="1">
        <f t="array" ref="F252">_xlfn.XLOOKUP(A252,'Automation Prepping'!$A$2:'Automation Prepping'!$A$315, 'Automation Prepping'!$H$2:'Automation Prepping'!$H$315)</f>
        <v>0</v>
      </c>
      <c r="L252" t="str" cm="1">
        <f t="array" ref="L252">_xlfn.XLOOKUP(A252,'Automation Prepping'!$A$2:'Automation Prepping'!$A$315, 'Automation Prepping'!$I$2:'Automation Prepping'!$I$315)</f>
        <v>https://advance-lexis-com.ezproxy.library.tufts.edu/search/?pdmfid=1516831&amp;crid=a0384b78-8d97-4f11-8311-7ddc6ec70bb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ixao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53" spans="1:12" ht="16" x14ac:dyDescent="0.2">
      <c r="A253" s="49" t="s">
        <v>698</v>
      </c>
      <c r="B253" s="49" t="s">
        <v>699</v>
      </c>
      <c r="C253" s="63" t="str" cm="1">
        <f t="array" ref="C253">_xlfn.XLOOKUP(A253,'Automation Prepping'!$A$2:'Automation Prepping'!$A$315, 'Automation Prepping'!$D$2:'Automation Prepping'!$D$315)</f>
        <v>N</v>
      </c>
      <c r="D253" t="str" cm="1">
        <f t="array" ref="D253">_xlfn.XLOOKUP(A253,'Automation Prepping'!$A$2:'Automation Prepping'!$A$315, 'Automation Prepping'!$F$2:'Automation Prepping'!$F$315)</f>
        <v>Need Add to 2024</v>
      </c>
      <c r="F253" cm="1">
        <f t="array" ref="F253">_xlfn.XLOOKUP(A253,'Automation Prepping'!$A$2:'Automation Prepping'!$A$315, 'Automation Prepping'!$H$2:'Automation Prepping'!$H$315)</f>
        <v>0</v>
      </c>
      <c r="I253" t="s">
        <v>1448</v>
      </c>
      <c r="L253" t="str" cm="1">
        <f t="array" ref="L253">_xlfn.XLOOKUP(A253,'Automation Prepping'!$A$2:'Automation Prepping'!$A$315, 'Automation Prepping'!$I$2:'Automation Prepping'!$I$315)</f>
        <v>https://advance-lexis-com.ezproxy.library.tufts.edu/search/?pdmfid=1516831&amp;crid=897b581a-18bc-4d4b-8405-4dc7bcfef745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Joh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68923eba-0f91-40c2-859c-8f496864540d</v>
      </c>
    </row>
    <row r="254" spans="1:12" ht="32" x14ac:dyDescent="0.2">
      <c r="A254" s="49" t="s">
        <v>701</v>
      </c>
      <c r="B254" s="49" t="s">
        <v>702</v>
      </c>
      <c r="C254" s="63" t="str" cm="1">
        <f t="array" ref="C254">_xlfn.XLOOKUP(A254,'Automation Prepping'!$A$2:'Automation Prepping'!$A$315, 'Automation Prepping'!$D$2:'Automation Prepping'!$D$315)</f>
        <v>N</v>
      </c>
      <c r="D254" t="str" cm="1">
        <f t="array" ref="D254">_xlfn.XLOOKUP(A254,'Automation Prepping'!$A$2:'Automation Prepping'!$A$315, 'Automation Prepping'!$F$2:'Automation Prepping'!$F$315)</f>
        <v>Need Add to 2024</v>
      </c>
      <c r="F254" cm="1">
        <f t="array" ref="F254">_xlfn.XLOOKUP(A254,'Automation Prepping'!$A$2:'Automation Prepping'!$A$315, 'Automation Prepping'!$H$2:'Automation Prepping'!$H$315)</f>
        <v>0</v>
      </c>
      <c r="I254" t="s">
        <v>1448</v>
      </c>
      <c r="L254" t="str" cm="1">
        <f t="array" ref="L254">_xlfn.XLOOKUP(A254,'Automation Prepping'!$A$2:'Automation Prepping'!$A$315, 'Automation Prepping'!$I$2:'Automation Prepping'!$I$315)</f>
        <v>https://advance-lexis-com.ezproxy.library.tufts.edu/search/?pdmfid=1516831&amp;crid=e6db0760-1780-4137-84db-88742aa02093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John+OR+Canaan+OR+Monquart+OR+Saint+John+OR+Sisson+OR+Thames+OR+CAPS(Verde)+OR+Allasash+OR+CAPS(Eagle+Lake)+OR+CAPS(Fish)+OR+CAPS(Long+Lake)+OR+Munsungan+lake+OR+Musquacook+Lakes+OR+CAPS(Round+Pond)+OR+Sqnapan+Lake+OR+Umsaskis+Lak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255" spans="1:12" ht="16" x14ac:dyDescent="0.2">
      <c r="A255" s="49" t="s">
        <v>704</v>
      </c>
      <c r="B255" s="49" t="s">
        <v>705</v>
      </c>
      <c r="C255" s="63" t="str" cm="1">
        <f t="array" ref="C255">_xlfn.XLOOKUP(A255,'Automation Prepping'!$A$2:'Automation Prepping'!$A$315, 'Automation Prepping'!$D$2:'Automation Prepping'!$D$315)</f>
        <v>N</v>
      </c>
      <c r="D255" t="str" cm="1">
        <f t="array" ref="D255">_xlfn.XLOOKUP(A255,'Automation Prepping'!$A$2:'Automation Prepping'!$A$315, 'Automation Prepping'!$F$2:'Automation Prepping'!$F$315)</f>
        <v>Y</v>
      </c>
      <c r="F255" t="str" cm="1">
        <f t="array" ref="F255">_xlfn.XLOOKUP(A255,'Automation Prepping'!$A$2:'Automation Prepping'!$A$315, 'Automation Prepping'!$H$2:'Automation Prepping'!$H$315)</f>
        <v>Y</v>
      </c>
      <c r="I255" t="s">
        <v>1448</v>
      </c>
      <c r="L255" t="str" cm="1">
        <f t="array" ref="L255">_xlfn.XLOOKUP(A255,'Automation Prepping'!$A$2:'Automation Prepping'!$A$315, 'Automation Prepping'!$I$2:'Automation Prepping'!$I$315)</f>
        <v>https://advance-lexis-com.ezproxy.library.tufts.edu/search/?pdmfid=1516831&amp;crid=26f7790d-6a0f-4638-a1cb-b2ffae2ce95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Juan+OR+Chiripo+OR+Lagoon+De+Arenal+OR+San+Carlo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v>
      </c>
    </row>
    <row r="256" spans="1:12" ht="16" x14ac:dyDescent="0.2">
      <c r="A256" s="49" t="s">
        <v>707</v>
      </c>
      <c r="B256" s="49" t="s">
        <v>706</v>
      </c>
      <c r="C256" s="63" t="str" cm="1">
        <f t="array" ref="C256">_xlfn.XLOOKUP(A256,'Automation Prepping'!$A$2:'Automation Prepping'!$A$315, 'Automation Prepping'!$D$2:'Automation Prepping'!$D$315)</f>
        <v>N</v>
      </c>
      <c r="D256" t="str" cm="1">
        <f t="array" ref="D256">_xlfn.XLOOKUP(A256,'Automation Prepping'!$A$2:'Automation Prepping'!$A$315, 'Automation Prepping'!$F$2:'Automation Prepping'!$F$315)</f>
        <v>Y</v>
      </c>
      <c r="F256" cm="1">
        <f t="array" ref="F256">_xlfn.XLOOKUP(A256,'Automation Prepping'!$A$2:'Automation Prepping'!$A$315, 'Automation Prepping'!$H$2:'Automation Prepping'!$H$315)</f>
        <v>0</v>
      </c>
      <c r="L256" t="str" cm="1">
        <f t="array" ref="L256">_xlfn.XLOOKUP(A256,'Automation Prepping'!$A$2:'Automation Prepping'!$A$315, 'Automation Prepping'!$I$2:'Automation Prepping'!$I$315)</f>
        <v>https://advance-lexis-com.ezproxy.library.tufts.edu/search/?pdmfid=1516831&amp;crid=e0b96ec5-1afe-4be1-945a-83e478610262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kagi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v>
      </c>
    </row>
    <row r="257" spans="1:12" ht="16" x14ac:dyDescent="0.2">
      <c r="A257" s="49" t="s">
        <v>709</v>
      </c>
      <c r="B257" s="49" t="s">
        <v>710</v>
      </c>
      <c r="C257" s="63" t="str" cm="1">
        <f t="array" ref="C257">_xlfn.XLOOKUP(A257,'Automation Prepping'!$A$2:'Automation Prepping'!$A$315, 'Automation Prepping'!$D$2:'Automation Prepping'!$D$315)</f>
        <v>N</v>
      </c>
      <c r="D257" t="str" cm="1">
        <f t="array" ref="D257">_xlfn.XLOOKUP(A257,'Automation Prepping'!$A$2:'Automation Prepping'!$A$315, 'Automation Prepping'!$F$2:'Automation Prepping'!$F$315)</f>
        <v>Y</v>
      </c>
      <c r="F257" cm="1">
        <f t="array" ref="F257">_xlfn.XLOOKUP(A257,'Automation Prepping'!$A$2:'Automation Prepping'!$A$315, 'Automation Prepping'!$H$2:'Automation Prepping'!$H$315)</f>
        <v>0</v>
      </c>
      <c r="I257" t="s">
        <v>1450</v>
      </c>
      <c r="L257" t="str" cm="1">
        <f t="array" ref="L257">_xlfn.XLOOKUP(A257,'Automation Prepping'!$A$2:'Automation Prepping'!$A$315, 'Automation Prepping'!$I$2:'Automation Prepping'!$I$315)</f>
        <v>https://advance-lexis-com.ezproxy.library.tufts.edu/search/?pdmfid=1516831&amp;crid=ddd14037-2d19-495f-b362-40019c137fd0&amp;pdpsf=&amp;pdpost=&amp;pdstartin=urn%3Ahlct%3A16</v>
      </c>
    </row>
    <row r="258" spans="1:12" ht="16" x14ac:dyDescent="0.2">
      <c r="A258" s="49" t="s">
        <v>712</v>
      </c>
      <c r="B258" s="49" t="s">
        <v>711</v>
      </c>
      <c r="C258" s="63" t="str" cm="1">
        <f t="array" ref="C258">_xlfn.XLOOKUP(A258,'Automation Prepping'!$A$2:'Automation Prepping'!$A$315, 'Automation Prepping'!$D$2:'Automation Prepping'!$D$315)</f>
        <v>N</v>
      </c>
      <c r="D258" t="str" cm="1">
        <f t="array" ref="D258">_xlfn.XLOOKUP(A258,'Automation Prepping'!$A$2:'Automation Prepping'!$A$315, 'Automation Prepping'!$F$2:'Automation Prepping'!$F$315)</f>
        <v>Y</v>
      </c>
      <c r="F258" t="str" cm="1">
        <f t="array" ref="F258">_xlfn.XLOOKUP(A258,'Automation Prepping'!$A$2:'Automation Prepping'!$A$315, 'Automation Prepping'!$H$2:'Automation Prepping'!$H$315)</f>
        <v>Y</v>
      </c>
      <c r="I258" t="s">
        <v>1448</v>
      </c>
      <c r="L258" t="str" cm="1">
        <f t="array" ref="L258">_xlfn.XLOOKUP(A258,'Automation Prepping'!$A$2:'Automation Prepping'!$A$315, 'Automation Prepping'!$I$2:'Automation Prepping'!$I$315)</f>
        <v>https://advance-lexis-com.ezproxy.library.tufts.edu/search/?pdmfid=1516831&amp;crid=d87c3476-848d-4610-a404-432f87cd7339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n+Marti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v>
      </c>
    </row>
    <row r="259" spans="1:12" ht="16" x14ac:dyDescent="0.2">
      <c r="A259" s="49" t="s">
        <v>714</v>
      </c>
      <c r="B259" s="49" t="s">
        <v>713</v>
      </c>
      <c r="C259" s="63" t="str" cm="1">
        <f t="array" ref="C259">_xlfn.XLOOKUP(A259,'Automation Prepping'!$A$2:'Automation Prepping'!$A$315, 'Automation Prepping'!$D$2:'Automation Prepping'!$D$315)</f>
        <v>Y (15 July 2022)</v>
      </c>
      <c r="D259" cm="1">
        <f t="array" ref="D259">_xlfn.XLOOKUP(A259,'Automation Prepping'!$A$2:'Automation Prepping'!$A$315, 'Automation Prepping'!$F$2:'Automation Prepping'!$F$315)</f>
        <v>0</v>
      </c>
      <c r="F259" cm="1">
        <f t="array" ref="F259">_xlfn.XLOOKUP(A259,'Automation Prepping'!$A$2:'Automation Prepping'!$A$315, 'Automation Prepping'!$H$2:'Automation Prepping'!$H$315)</f>
        <v>0</v>
      </c>
      <c r="L259" t="str" cm="1">
        <f t="array" ref="L259">_xlfn.XLOOKUP(A259,'Automation Prepping'!$A$2:'Automation Prepping'!$A$315, 'Automation Prepping'!$I$2:'Automation Prepping'!$I$315)</f>
        <v>https://advance-lexis-com.ezproxy.library.tufts.edu/search/?pdmfid=1516831&amp;crid=1df812b1-2fc0-4141-be1e-f332a548496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embakung)+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60" spans="1:12" ht="16" x14ac:dyDescent="0.2">
      <c r="A260" s="49" t="s">
        <v>716</v>
      </c>
      <c r="B260" s="49" t="s">
        <v>717</v>
      </c>
      <c r="C260" s="63" t="str" cm="1">
        <f t="array" ref="C260">_xlfn.XLOOKUP(A260,'Automation Prepping'!$A$2:'Automation Prepping'!$A$315, 'Automation Prepping'!$D$2:'Automation Prepping'!$D$315)</f>
        <v>N</v>
      </c>
      <c r="D260" t="str" cm="1">
        <f t="array" ref="D260">_xlfn.XLOOKUP(A260,'Automation Prepping'!$A$2:'Automation Prepping'!$A$315, 'Automation Prepping'!$F$2:'Automation Prepping'!$F$315)</f>
        <v>Y</v>
      </c>
      <c r="F260" t="str" cm="1">
        <f t="array" ref="F260">_xlfn.XLOOKUP(A260,'Automation Prepping'!$A$2:'Automation Prepping'!$A$315, 'Automation Prepping'!$H$2:'Automation Prepping'!$H$315)</f>
        <v>Y</v>
      </c>
      <c r="I260" t="s">
        <v>1448</v>
      </c>
      <c r="L260" t="str" cm="1">
        <f t="array" ref="L260">_xlfn.XLOOKUP(A260,'Automation Prepping'!$A$2:'Automation Prepping'!$A$315, 'Automation Prepping'!$I$2:'Automation Prepping'!$I$315)</f>
        <v>https://advance-lexis-com.ezproxy.library.tufts.edu/search/?pdmfid=1516831&amp;crid=22c93266-4cec-4643-91de-bd612bd80982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Paul+OR+Dia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wxLg9kk&amp;earg=pdpsf&amp;prid=5923a166-d96f-4896-be04-8b410ab9a20e</v>
      </c>
    </row>
    <row r="261" spans="1:12" ht="16" x14ac:dyDescent="0.2">
      <c r="A261" s="49" t="s">
        <v>719</v>
      </c>
      <c r="B261" s="49" t="s">
        <v>718</v>
      </c>
      <c r="C261" s="63" t="str" cm="1">
        <f t="array" ref="C261">_xlfn.XLOOKUP(A261,'Automation Prepping'!$A$2:'Automation Prepping'!$A$315, 'Automation Prepping'!$D$2:'Automation Prepping'!$D$315)</f>
        <v>Y (15 July 2022)</v>
      </c>
      <c r="D261" t="str" cm="1">
        <f t="array" ref="D261">_xlfn.XLOOKUP(A261,'Automation Prepping'!$A$2:'Automation Prepping'!$A$315, 'Automation Prepping'!$F$2:'Automation Prepping'!$F$315)</f>
        <v>Y</v>
      </c>
      <c r="F261" t="str" cm="1">
        <f t="array" ref="F261">_xlfn.XLOOKUP(A261,'Automation Prepping'!$A$2:'Automation Prepping'!$A$315, 'Automation Prepping'!$H$2:'Automation Prepping'!$H$315)</f>
        <v>Y</v>
      </c>
      <c r="L261" t="str" cm="1">
        <f t="array" ref="L261">_xlfn.XLOOKUP(A261,'Automation Prepping'!$A$2:'Automation Prepping'!$A$315, 'Automation Prepping'!$I$2:'Automation Prepping'!$I$315)</f>
        <v>https://advance-lexis-com.ezproxy.library.tufts.edu/search/?pdmfid=1516831&amp;crid=3dfa2d64-978e-4470-803a-03b6cbbce7a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rat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62" spans="1:12" ht="16" x14ac:dyDescent="0.2">
      <c r="A262" s="49" t="s">
        <v>721</v>
      </c>
      <c r="B262" s="49" t="s">
        <v>720</v>
      </c>
      <c r="C262" s="63" t="str" cm="1">
        <f t="array" ref="C262">_xlfn.XLOOKUP(A262,'Automation Prepping'!$A$2:'Automation Prepping'!$A$315, 'Automation Prepping'!$D$2:'Automation Prepping'!$D$315)</f>
        <v>Y (15 July 2022)</v>
      </c>
      <c r="D262" t="str" cm="1">
        <f t="array" ref="D262">_xlfn.XLOOKUP(A262,'Automation Prepping'!$A$2:'Automation Prepping'!$A$315, 'Automation Prepping'!$F$2:'Automation Prepping'!$F$315)</f>
        <v>Y</v>
      </c>
      <c r="F262" t="str" cm="1">
        <f t="array" ref="F262">_xlfn.XLOOKUP(A262,'Automation Prepping'!$A$2:'Automation Prepping'!$A$315, 'Automation Prepping'!$H$2:'Automation Prepping'!$H$315)</f>
        <v>Y</v>
      </c>
      <c r="L262" t="str" cm="1">
        <f t="array" ref="L262">_xlfn.XLOOKUP(A262,'Automation Prepping'!$A$2:'Automation Prepping'!$A$315, 'Automation Prepping'!$I$2:'Automation Prepping'!$I$315)</f>
        <v>https://advance-lexis-com.ezproxy.library.tufts.edu/search/?pdmfid=1516831&amp;crid=8290ff9c-6c6c-47b1-91cd-eb8461d61c68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arstu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63" spans="1:12" ht="16" x14ac:dyDescent="0.2">
      <c r="A263" s="49" t="s">
        <v>723</v>
      </c>
      <c r="B263" s="49" t="s">
        <v>724</v>
      </c>
      <c r="C263" s="63" t="str" cm="1">
        <f t="array" ref="C263">_xlfn.XLOOKUP(A263,'Automation Prepping'!$A$2:'Automation Prepping'!$A$315, 'Automation Prepping'!$D$2:'Automation Prepping'!$D$315)</f>
        <v>Y (15 July 2022)</v>
      </c>
      <c r="D263" t="str" cm="1">
        <f t="array" ref="D263">_xlfn.XLOOKUP(A263,'Automation Prepping'!$A$2:'Automation Prepping'!$A$315, 'Automation Prepping'!$F$2:'Automation Prepping'!$F$315)</f>
        <v>Y</v>
      </c>
      <c r="F263" t="str" cm="1">
        <f t="array" ref="F263">_xlfn.XLOOKUP(A263,'Automation Prepping'!$A$2:'Automation Prepping'!$A$315, 'Automation Prepping'!$H$2:'Automation Prepping'!$H$315)</f>
        <v>Y</v>
      </c>
      <c r="L263" t="str" cm="1">
        <f t="array" ref="L263">_xlfn.XLOOKUP(A263,'Automation Prepping'!$A$2:'Automation Prepping'!$A$315, 'Automation Prepping'!$I$2:'Automation Prepping'!$I$315)</f>
        <v>https://advance-lexis-com.ezproxy.library.tufts.edu/search/?pdmfid=1516831&amp;crid=458c641e-defb-4bcd-9faf-2062c7044152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ikine+OR+Chutine+OR+Kinaskan+Lake+OR+Klappan+OR+Pitman+OR+Spatsizi+OR+Tahltan+OR+Tahltan+Lake+OR+Tanzilla+OR+Tumeka+Lake+OR+Tu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64" spans="1:12" ht="16" x14ac:dyDescent="0.2">
      <c r="A264" s="49" t="s">
        <v>726</v>
      </c>
      <c r="B264" s="49" t="s">
        <v>727</v>
      </c>
      <c r="C264" s="63" t="str" cm="1">
        <f t="array" ref="C264">_xlfn.XLOOKUP(A264,'Automation Prepping'!$A$2:'Automation Prepping'!$A$315, 'Automation Prepping'!$D$2:'Automation Prepping'!$D$315)</f>
        <v>Y (15 July 2022)</v>
      </c>
      <c r="D264" t="str" cm="1">
        <f t="array" ref="D264">_xlfn.XLOOKUP(A264,'Automation Prepping'!$A$2:'Automation Prepping'!$A$315, 'Automation Prepping'!$F$2:'Automation Prepping'!$F$315)</f>
        <v>Y</v>
      </c>
      <c r="F264" t="str" cm="1">
        <f t="array" ref="F264">_xlfn.XLOOKUP(A264,'Automation Prepping'!$A$2:'Automation Prepping'!$A$315, 'Automation Prepping'!$H$2:'Automation Prepping'!$H$315)</f>
        <v>Y</v>
      </c>
      <c r="L264" t="str" cm="1">
        <f t="array" ref="L264">_xlfn.XLOOKUP(A264,'Automation Prepping'!$A$2:'Automation Prepping'!$A$315, 'Automation Prepping'!$I$2:'Automation Prepping'!$I$315)</f>
        <v>https://advance-lexis-com.ezproxy.library.tufts.edu/search/?pdmfid=1516831&amp;crid=ef57c057-4d23-4070-bfdb-795f4d2af88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truma+OR+Ana+Dere+OR+Beglichka+OR+Bersinski+dol+OR+Devinski+OR+Kriva+OR+Matnitza+OR+Orolachka+OR+Stara+reka+OR+Strouma+OR+Limni+Kerkuni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65" spans="1:12" ht="16" x14ac:dyDescent="0.2">
      <c r="A265" s="49" t="s">
        <v>729</v>
      </c>
      <c r="B265" s="49" t="s">
        <v>728</v>
      </c>
      <c r="C265" s="63" t="str" cm="1">
        <f t="array" ref="C265">_xlfn.XLOOKUP(A265,'Automation Prepping'!$A$2:'Automation Prepping'!$A$315, 'Automation Prepping'!$D$2:'Automation Prepping'!$D$315)</f>
        <v>Y (15 July 2022)</v>
      </c>
      <c r="D265" t="str" cm="1">
        <f t="array" ref="D265">_xlfn.XLOOKUP(A265,'Automation Prepping'!$A$2:'Automation Prepping'!$A$315, 'Automation Prepping'!$F$2:'Automation Prepping'!$F$315)</f>
        <v>Y</v>
      </c>
      <c r="F265" t="str" cm="1">
        <f t="array" ref="F265">_xlfn.XLOOKUP(A265,'Automation Prepping'!$A$2:'Automation Prepping'!$A$315, 'Automation Prepping'!$H$2:'Automation Prepping'!$H$315)</f>
        <v>Y</v>
      </c>
      <c r="L265" t="str" cm="1">
        <f t="array" ref="L265">_xlfn.XLOOKUP(A265,'Automation Prepping'!$A$2:'Automation Prepping'!$A$315, 'Automation Prepping'!$I$2:'Automation Prepping'!$I$315)</f>
        <v>https://advance-lexis-com.ezproxy.library.tufts.edu/search/?pdmfid=1516831&amp;crid=bd66757a-788a-421d-915b-e8525342eff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uchiat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66" spans="1:12" ht="16" x14ac:dyDescent="0.2">
      <c r="A266" s="49" t="s">
        <v>731</v>
      </c>
      <c r="B266" s="49" t="s">
        <v>730</v>
      </c>
      <c r="C266" s="63" t="str" cm="1">
        <f t="array" ref="C266">_xlfn.XLOOKUP(A266,'Automation Prepping'!$A$2:'Automation Prepping'!$A$315, 'Automation Prepping'!$D$2:'Automation Prepping'!$D$315)</f>
        <v>Y (15 July 2022)</v>
      </c>
      <c r="D266" cm="1">
        <f t="array" ref="D266">_xlfn.XLOOKUP(A266,'Automation Prepping'!$A$2:'Automation Prepping'!$A$315, 'Automation Prepping'!$F$2:'Automation Prepping'!$F$315)</f>
        <v>0</v>
      </c>
      <c r="F266" cm="1">
        <f t="array" ref="F266">_xlfn.XLOOKUP(A266,'Automation Prepping'!$A$2:'Automation Prepping'!$A$315, 'Automation Prepping'!$H$2:'Automation Prepping'!$H$315)</f>
        <v>0</v>
      </c>
      <c r="L266" t="str" cm="1">
        <f t="array" ref="L266">_xlfn.XLOOKUP(A266,'Automation Prepping'!$A$2:'Automation Prepping'!$A$315, 'Automation Prepping'!$I$2:'Automation Prepping'!$I$315)</f>
        <v>https://advance-lexis-com.ezproxy.library.tufts.edu/search/?pdmfid=1516831&amp;crid=410fa3f2-6a6b-4269-9dc3-8f9b3011476e&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ujfu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67" spans="1:12" ht="16" x14ac:dyDescent="0.2">
      <c r="A267" s="49" t="s">
        <v>733</v>
      </c>
      <c r="B267" s="49" t="s">
        <v>734</v>
      </c>
      <c r="C267" s="63" t="str" cm="1">
        <f t="array" ref="C267">_xlfn.XLOOKUP(A267,'Automation Prepping'!$A$2:'Automation Prepping'!$A$315, 'Automation Prepping'!$D$2:'Automation Prepping'!$D$315)</f>
        <v>Y (15 July 2022)</v>
      </c>
      <c r="D267" t="str" cm="1">
        <f t="array" ref="D267">_xlfn.XLOOKUP(A267,'Automation Prepping'!$A$2:'Automation Prepping'!$A$315, 'Automation Prepping'!$F$2:'Automation Prepping'!$F$315)</f>
        <v>Y</v>
      </c>
      <c r="F267" t="str" cm="1">
        <f t="array" ref="F267">_xlfn.XLOOKUP(A267,'Automation Prepping'!$A$2:'Automation Prepping'!$A$315, 'Automation Prepping'!$H$2:'Automation Prepping'!$H$315)</f>
        <v>Y</v>
      </c>
      <c r="L267" t="str" cm="1">
        <f t="array" ref="L267">_xlfn.XLOOKUP(A267,'Automation Prepping'!$A$2:'Automation Prepping'!$A$315, 'Automation Prepping'!$I$2:'Automation Prepping'!$I$315)</f>
        <v>https://advance-lexis-com.ezproxy.library.tufts.edu/search/?pdmfid=1516831&amp;crid=d4cf508c-1d86-439b-967a-c88f030a5c2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Sulak+OR+Avar+Kois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68" spans="1:12" ht="16" x14ac:dyDescent="0.2">
      <c r="A268" s="49" t="s">
        <v>736</v>
      </c>
      <c r="B268" s="49" t="s">
        <v>737</v>
      </c>
      <c r="C268" s="63" t="str" cm="1">
        <f t="array" ref="C268">_xlfn.XLOOKUP(A268,'Automation Prepping'!$A$2:'Automation Prepping'!$A$315, 'Automation Prepping'!$D$2:'Automation Prepping'!$D$315)</f>
        <v>Y (15 July 2022)</v>
      </c>
      <c r="D268" cm="1">
        <f t="array" ref="D268">_xlfn.XLOOKUP(A268,'Automation Prepping'!$A$2:'Automation Prepping'!$A$315, 'Automation Prepping'!$F$2:'Automation Prepping'!$F$315)</f>
        <v>0</v>
      </c>
      <c r="F268" cm="1">
        <f t="array" ref="F268">_xlfn.XLOOKUP(A268,'Automation Prepping'!$A$2:'Automation Prepping'!$A$315, 'Automation Prepping'!$H$2:'Automation Prepping'!$H$315)</f>
        <v>0</v>
      </c>
      <c r="L268" t="str" cm="1">
        <f t="array" ref="L268">_xlfn.XLOOKUP(A268,'Automation Prepping'!$A$2:'Automation Prepping'!$A$315, 'Automation Prepping'!$I$2:'Automation Prepping'!$I$315)</f>
        <v>https://advance-lexis-com.ezproxy.library.tufts.edu/search/?pdmfid=1516831&amp;crid=ff252b17-7c4d-409d-a7b0-43d27b2f70a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fna+OR+Meffrouc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69" spans="1:12" ht="32" x14ac:dyDescent="0.2">
      <c r="A269" s="49" t="s">
        <v>739</v>
      </c>
      <c r="B269" s="49" t="s">
        <v>740</v>
      </c>
      <c r="C269" s="63" t="str" cm="1">
        <f t="array" ref="C269">_xlfn.XLOOKUP(A269,'Automation Prepping'!$A$2:'Automation Prepping'!$A$315, 'Automation Prepping'!$D$2:'Automation Prepping'!$D$315)</f>
        <v>Y (31 August 2022)</v>
      </c>
      <c r="D269" t="str" cm="1">
        <f t="array" ref="D269">_xlfn.XLOOKUP(A269,'Automation Prepping'!$A$2:'Automation Prepping'!$A$315, 'Automation Prepping'!$F$2:'Automation Prepping'!$F$315)</f>
        <v>Need Add to 2024</v>
      </c>
      <c r="F269" cm="1">
        <f t="array" ref="F269">_xlfn.XLOOKUP(A269,'Automation Prepping'!$A$2:'Automation Prepping'!$A$315, 'Automation Prepping'!$H$2:'Automation Prepping'!$H$315)</f>
        <v>0</v>
      </c>
      <c r="I269" t="s">
        <v>1450</v>
      </c>
      <c r="L269" t="str" cm="1">
        <f t="array" ref="L269">_xlfn.XLOOKUP(A269,'Automation Prepping'!$A$2:'Automation Prepping'!$A$315, 'Automation Prepping'!$I$2:'Automation Prepping'!$I$315)</f>
        <v>https://advance-lexis-com.ezproxy.library.tufts.edu/search/?pdmfid=1516831&amp;crid=d601b35d-9b92-4a25-bdff-14ee3095907b&amp;pdpsf=&amp;pdpost=&amp;pdstartin=urn%3Ahlct%3A16</v>
      </c>
    </row>
    <row r="270" spans="1:12" ht="32" x14ac:dyDescent="0.2">
      <c r="A270" s="49" t="s">
        <v>742</v>
      </c>
      <c r="B270" s="49" t="s">
        <v>743</v>
      </c>
      <c r="C270" s="63" t="str" cm="1">
        <f t="array" ref="C270">_xlfn.XLOOKUP(A270,'Automation Prepping'!$A$2:'Automation Prepping'!$A$315, 'Automation Prepping'!$D$2:'Automation Prepping'!$D$315)</f>
        <v>Y (31 August 2022)</v>
      </c>
      <c r="D270" t="str" cm="1">
        <f t="array" ref="D270">_xlfn.XLOOKUP(A270,'Automation Prepping'!$A$2:'Automation Prepping'!$A$315, 'Automation Prepping'!$F$2:'Automation Prepping'!$F$315)</f>
        <v>Need Add to 2024</v>
      </c>
      <c r="F270" cm="1">
        <f t="array" ref="F270">_xlfn.XLOOKUP(A270,'Automation Prepping'!$A$2:'Automation Prepping'!$A$315, 'Automation Prepping'!$H$2:'Automation Prepping'!$H$315)</f>
        <v>0</v>
      </c>
      <c r="I270" t="s">
        <v>1448</v>
      </c>
      <c r="L270" t="str" cm="1">
        <f t="array" ref="L270">_xlfn.XLOOKUP(A270,'Automation Prepping'!$A$2:'Automation Prepping'!$A$315, 'Automation Prepping'!$I$2:'Automation Prepping'!$I$315)</f>
        <v>https://advance-lexis-com.ezproxy.library.tufts.edu/search/?pdmfid=1516831&amp;crid=7f33ffd8-5b4d-413c-9dc9-11ea05bdc542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ku+OR+Inklin+OR+Nahlin+OR+Nakina+OR+Shes+Lay+OR+Slok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99aab8d8-517d-4f04-9250-ddb14c2762bb</v>
      </c>
    </row>
    <row r="271" spans="1:12" ht="16" x14ac:dyDescent="0.2">
      <c r="A271" s="49" t="s">
        <v>745</v>
      </c>
      <c r="B271" s="49" t="s">
        <v>744</v>
      </c>
      <c r="C271" s="63" t="str" cm="1">
        <f t="array" ref="C271">_xlfn.XLOOKUP(A271,'Automation Prepping'!$A$2:'Automation Prepping'!$A$315, 'Automation Prepping'!$D$2:'Automation Prepping'!$D$315)</f>
        <v>Y (15 July 2022)</v>
      </c>
      <c r="D271" t="str" cm="1">
        <f t="array" ref="D271">_xlfn.XLOOKUP(A271,'Automation Prepping'!$A$2:'Automation Prepping'!$A$315, 'Automation Prepping'!$F$2:'Automation Prepping'!$F$315)</f>
        <v>Y</v>
      </c>
      <c r="F271" t="str" cm="1">
        <f t="array" ref="F271">_xlfn.XLOOKUP(A271,'Automation Prepping'!$A$2:'Automation Prepping'!$A$315, 'Automation Prepping'!$H$2:'Automation Prepping'!$H$315)</f>
        <v>Y</v>
      </c>
      <c r="L271" t="str" cm="1">
        <f t="array" ref="L271">_xlfn.XLOOKUP(A271,'Automation Prepping'!$A$2:'Automation Prepping'!$A$315, 'Automation Prepping'!$I$2:'Automation Prepping'!$I$315)</f>
        <v>https://advance-lexis-com.ezproxy.library.tufts.edu/search/?pdmfid=1516831&amp;crid=d2d6bc0f-66db-43c7-81d6-bd45731dbc96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la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72" spans="1:12" ht="32" x14ac:dyDescent="0.2">
      <c r="A272" s="49" t="s">
        <v>747</v>
      </c>
      <c r="B272" s="49" t="s">
        <v>746</v>
      </c>
      <c r="C272" s="63" t="str" cm="1">
        <f t="array" ref="C272">_xlfn.XLOOKUP(A272,'Automation Prepping'!$A$2:'Automation Prepping'!$A$315, 'Automation Prepping'!$D$2:'Automation Prepping'!$D$315)</f>
        <v>Y (31 December 2022)</v>
      </c>
      <c r="D272" t="str" cm="1">
        <f t="array" ref="D272">_xlfn.XLOOKUP(A272,'Automation Prepping'!$A$2:'Automation Prepping'!$A$315, 'Automation Prepping'!$F$2:'Automation Prepping'!$F$315)</f>
        <v>Y</v>
      </c>
      <c r="F272" t="str" cm="1">
        <f t="array" ref="F272">_xlfn.XLOOKUP(A272,'Automation Prepping'!$A$2:'Automation Prepping'!$A$315, 'Automation Prepping'!$H$2:'Automation Prepping'!$H$315)</f>
        <v>Y</v>
      </c>
      <c r="L272" t="str" cm="1">
        <f t="array" ref="L272">_xlfn.XLOOKUP(A272,'Automation Prepping'!$A$2:'Automation Prepping'!$A$315, 'Automation Prepping'!$I$2:'Automation Prepping'!$I$315)</f>
        <v>https://advance-lexis-com.ezproxy.library.tufts.edu/search/?pdmfid=1516831&amp;crid=72de217f-ab4e-4fb2-b185-c17ec0e0cb8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m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73" spans="1:12" ht="16" x14ac:dyDescent="0.2">
      <c r="A273" s="49" t="s">
        <v>749</v>
      </c>
      <c r="B273" s="49" t="s">
        <v>750</v>
      </c>
      <c r="C273" s="63" t="str" cm="1">
        <f t="array" ref="C273">_xlfn.XLOOKUP(A273,'Automation Prepping'!$A$2:'Automation Prepping'!$A$315, 'Automation Prepping'!$D$2:'Automation Prepping'!$D$315)</f>
        <v>N</v>
      </c>
      <c r="D273" t="str" cm="1">
        <f t="array" ref="D273">_xlfn.XLOOKUP(A273,'Automation Prepping'!$A$2:'Automation Prepping'!$A$315, 'Automation Prepping'!$F$2:'Automation Prepping'!$F$315)</f>
        <v>Need Add to 2024</v>
      </c>
      <c r="F273" cm="1">
        <f t="array" ref="F273">_xlfn.XLOOKUP(A273,'Automation Prepping'!$A$2:'Automation Prepping'!$A$315, 'Automation Prepping'!$H$2:'Automation Prepping'!$H$315)</f>
        <v>0</v>
      </c>
      <c r="I273" t="s">
        <v>1448</v>
      </c>
      <c r="L273" t="str" cm="1">
        <f t="array" ref="L273">_xlfn.XLOOKUP(A273,'Automation Prepping'!$A$2:'Automation Prepping'!$A$315, 'Automation Prepping'!$I$2:'Automation Prepping'!$I$315)</f>
        <v>https://advance-lexis-com.ezproxy.library.tufts.edu/search/?pdmfid=1516831&amp;crid=ce420ca5-55f7-4750-b003-8a5e0da6d508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na+OR+Anarjohka+OR+Karasjok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274" spans="1:12" ht="16" x14ac:dyDescent="0.2">
      <c r="A274" s="49" t="s">
        <v>752</v>
      </c>
      <c r="B274" s="49" t="s">
        <v>751</v>
      </c>
      <c r="C274" s="63" t="str" cm="1">
        <f t="array" ref="C274">_xlfn.XLOOKUP(A274,'Automation Prepping'!$A$2:'Automation Prepping'!$A$315, 'Automation Prepping'!$D$2:'Automation Prepping'!$D$315)</f>
        <v>Y (15 July 2022)</v>
      </c>
      <c r="D274" t="str" cm="1">
        <f t="array" ref="D274">_xlfn.XLOOKUP(A274,'Automation Prepping'!$A$2:'Automation Prepping'!$A$315, 'Automation Prepping'!$F$2:'Automation Prepping'!$F$315)</f>
        <v>Y</v>
      </c>
      <c r="F274" t="str" cm="1">
        <f t="array" ref="F274">_xlfn.XLOOKUP(A274,'Automation Prepping'!$A$2:'Automation Prepping'!$A$315, 'Automation Prepping'!$H$2:'Automation Prepping'!$H$315)</f>
        <v>Y</v>
      </c>
      <c r="L274" t="str" cm="1">
        <f t="array" ref="L274">_xlfn.XLOOKUP(A274,'Automation Prepping'!$A$2:'Automation Prepping'!$A$315, 'Automation Prepping'!$I$2:'Automation Prepping'!$I$315)</f>
        <v>https://advance-lexis-com.ezproxy.library.tufts.edu/search/?pdmfid=1516831&amp;crid=3b0e629e-1918-4458-95b0-51638c89ac5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75" spans="1:12" ht="16" x14ac:dyDescent="0.2">
      <c r="A275" s="49" t="s">
        <v>754</v>
      </c>
      <c r="B275" s="49" t="s">
        <v>753</v>
      </c>
      <c r="C275" s="63" t="str" cm="1">
        <f t="array" ref="C275">_xlfn.XLOOKUP(A275,'Automation Prepping'!$A$2:'Automation Prepping'!$A$315, 'Automation Prepping'!$D$2:'Automation Prepping'!$D$315)</f>
        <v>Y (15 July 2022)</v>
      </c>
      <c r="D275" cm="1">
        <f t="array" ref="D275">_xlfn.XLOOKUP(A275,'Automation Prepping'!$A$2:'Automation Prepping'!$A$315, 'Automation Prepping'!$F$2:'Automation Prepping'!$F$315)</f>
        <v>0</v>
      </c>
      <c r="F275" cm="1">
        <f t="array" ref="F275">_xlfn.XLOOKUP(A275,'Automation Prepping'!$A$2:'Automation Prepping'!$A$315, 'Automation Prepping'!$H$2:'Automation Prepping'!$H$315)</f>
        <v>0</v>
      </c>
      <c r="L275" t="str" cm="1">
        <f t="array" ref="L275">_xlfn.XLOOKUP(A275,'Automation Prepping'!$A$2:'Automation Prepping'!$A$315, 'Automation Prepping'!$I$2:'Automation Prepping'!$I$315)</f>
        <v>https://advance-lexis-com.ezproxy.library.tufts.edu/search/?pdmfid=1516831&amp;crid=28bfb2ad-5487-4175-9b03-f44b883ac589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emash)+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76" spans="1:12" ht="16" x14ac:dyDescent="0.2">
      <c r="A276" s="49" t="s">
        <v>756</v>
      </c>
      <c r="B276" s="49" t="s">
        <v>755</v>
      </c>
      <c r="C276" s="63" t="str" cm="1">
        <f t="array" ref="C276">_xlfn.XLOOKUP(A276,'Automation Prepping'!$A$2:'Automation Prepping'!$A$315, 'Automation Prepping'!$D$2:'Automation Prepping'!$D$315)</f>
        <v>Y (15 July 2022)</v>
      </c>
      <c r="D276" t="str" cm="1">
        <f t="array" ref="D276">_xlfn.XLOOKUP(A276,'Automation Prepping'!$A$2:'Automation Prepping'!$A$315, 'Automation Prepping'!$F$2:'Automation Prepping'!$F$315)</f>
        <v>Y</v>
      </c>
      <c r="F276" t="str" cm="1">
        <f t="array" ref="F276">_xlfn.XLOOKUP(A276,'Automation Prepping'!$A$2:'Automation Prepping'!$A$315, 'Automation Prepping'!$H$2:'Automation Prepping'!$H$315)</f>
        <v>Y</v>
      </c>
      <c r="L276" t="str" cm="1">
        <f t="array" ref="L276">_xlfn.XLOOKUP(A276,'Automation Prepping'!$A$2:'Automation Prepping'!$A$315, 'Automation Prepping'!$I$2:'Automation Prepping'!$I$315)</f>
        <v>https://advance-lexis-com.ezproxy.library.tufts.edu/search/?pdmfid=1516831&amp;crid=ab4ef4a3-1752-4e10-b262-4ae0228c6705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ere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77" spans="1:12" ht="48" x14ac:dyDescent="0.2">
      <c r="A277" s="49" t="s">
        <v>758</v>
      </c>
      <c r="B277" s="49" t="s">
        <v>759</v>
      </c>
      <c r="C277" s="63" t="str" cm="1">
        <f t="array" ref="C277">_xlfn.XLOOKUP(A277,'Automation Prepping'!$A$2:'Automation Prepping'!$A$315, 'Automation Prepping'!$D$2:'Automation Prepping'!$D$315)</f>
        <v>Y</v>
      </c>
      <c r="D277" t="str" cm="1">
        <f t="array" ref="D277">_xlfn.XLOOKUP(A277,'Automation Prepping'!$A$2:'Automation Prepping'!$A$315, 'Automation Prepping'!$F$2:'Automation Prepping'!$F$315)</f>
        <v>Need Add to 2024</v>
      </c>
      <c r="F277" cm="1">
        <f t="array" ref="F277">_xlfn.XLOOKUP(A277,'Automation Prepping'!$A$2:'Automation Prepping'!$A$315, 'Automation Prepping'!$H$2:'Automation Prepping'!$H$315)</f>
        <v>0</v>
      </c>
      <c r="I277" t="s">
        <v>1450</v>
      </c>
      <c r="L277" t="str" cm="1">
        <f t="array" ref="L277">_xlfn.XLOOKUP(A277,'Automation Prepping'!$A$2:'Automation Prepping'!$A$315, 'Automation Prepping'!$I$2:'Automation Prepping'!$I$315)</f>
        <v>https://advance-lexis-com.ezproxy.library.tufts.edu/search/?pdmfid=1516831&amp;crid=ca83ffe8-f7c5-4c55-a613-6a36a279abd6&amp;pdpsf=&amp;pdpost=&amp;pdstartin=urn%3Ahlct%3A16&amp;oc</v>
      </c>
    </row>
    <row r="278" spans="1:12" ht="16" x14ac:dyDescent="0.2">
      <c r="A278" s="49" t="s">
        <v>761</v>
      </c>
      <c r="B278" s="49" t="s">
        <v>760</v>
      </c>
      <c r="C278" s="63" t="str" cm="1">
        <f t="array" ref="C278">_xlfn.XLOOKUP(A278,'Automation Prepping'!$A$2:'Automation Prepping'!$A$315, 'Automation Prepping'!$D$2:'Automation Prepping'!$D$315)</f>
        <v>N</v>
      </c>
      <c r="D278" t="str" cm="1">
        <f t="array" ref="D278">_xlfn.XLOOKUP(A278,'Automation Prepping'!$A$2:'Automation Prepping'!$A$315, 'Automation Prepping'!$F$2:'Automation Prepping'!$F$315)</f>
        <v>Y</v>
      </c>
      <c r="F278" cm="1">
        <f t="array" ref="F278">_xlfn.XLOOKUP(A278,'Automation Prepping'!$A$2:'Automation Prepping'!$A$315, 'Automation Prepping'!$H$2:'Automation Prepping'!$H$315)</f>
        <v>0</v>
      </c>
      <c r="L278" t="str" cm="1">
        <f t="array" ref="L278">_xlfn.XLOOKUP(A278,'Automation Prepping'!$A$2:'Automation Prepping'!$A$315, 'Automation Prepping'!$I$2:'Automation Prepping'!$I$315)</f>
        <v>https://advance-lexis-com.ezproxy.library.tufts.edu/search/?pdmfid=1516831&amp;crid=22b4d840-6502-491f-b4f5-58020c960aa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ijua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v>
      </c>
    </row>
    <row r="279" spans="1:12" ht="32" x14ac:dyDescent="0.2">
      <c r="A279" s="49" t="s">
        <v>763</v>
      </c>
      <c r="B279" s="49" t="s">
        <v>764</v>
      </c>
      <c r="C279" s="63" t="str" cm="1">
        <f t="array" ref="C279">_xlfn.XLOOKUP(A279,'Automation Prepping'!$A$2:'Automation Prepping'!$A$315, 'Automation Prepping'!$D$2:'Automation Prepping'!$D$315)</f>
        <v>Y (15 July 2022)</v>
      </c>
      <c r="D279" cm="1">
        <f t="array" ref="D279">_xlfn.XLOOKUP(A279,'Automation Prepping'!$A$2:'Automation Prepping'!$A$315, 'Automation Prepping'!$F$2:'Automation Prepping'!$F$315)</f>
        <v>0</v>
      </c>
      <c r="F279" cm="1">
        <f t="array" ref="F279">_xlfn.XLOOKUP(A279,'Automation Prepping'!$A$2:'Automation Prepping'!$A$315, 'Automation Prepping'!$H$2:'Automation Prepping'!$H$315)</f>
        <v>0</v>
      </c>
      <c r="L279" t="str" cm="1">
        <f t="array" ref="L279">_xlfn.XLOOKUP(A279,'Automation Prepping'!$A$2:'Automation Prepping'!$A$315, 'Automation Prepping'!$I$2:'Automation Prepping'!$I$315)</f>
        <v>https://advance-lexis-com.ezproxy.library.tufts.edu/search/?pdmfid=1516831&amp;crid=3dbaa7b0-c2a3-4c92-a52c-be9a9bc280c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jeroaka+OR+Wanggo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80" spans="1:12" ht="16" x14ac:dyDescent="0.2">
      <c r="A280" s="49" t="s">
        <v>766</v>
      </c>
      <c r="B280" s="49" t="s">
        <v>767</v>
      </c>
      <c r="C280" s="63" t="str" cm="1">
        <f t="array" ref="C280">_xlfn.XLOOKUP(A280,'Automation Prepping'!$A$2:'Automation Prepping'!$A$315, 'Automation Prepping'!$D$2:'Automation Prepping'!$D$315)</f>
        <v>Y (15 July 2022)</v>
      </c>
      <c r="D280" t="str" cm="1">
        <f t="array" ref="D280">_xlfn.XLOOKUP(A280,'Automation Prepping'!$A$2:'Automation Prepping'!$A$315, 'Automation Prepping'!$F$2:'Automation Prepping'!$F$315)</f>
        <v>Y</v>
      </c>
      <c r="F280" t="str" cm="1">
        <f t="array" ref="F280">_xlfn.XLOOKUP(A280,'Automation Prepping'!$A$2:'Automation Prepping'!$A$315, 'Automation Prepping'!$H$2:'Automation Prepping'!$H$315)</f>
        <v>Y</v>
      </c>
      <c r="L280" t="str" cm="1">
        <f t="array" ref="L280">_xlfn.XLOOKUP(A280,'Automation Prepping'!$A$2:'Automation Prepping'!$A$315, 'Automation Prepping'!$I$2:'Automation Prepping'!$I$315)</f>
        <v>https://advance-lexis-com.ezproxy.library.tufts.edu/search/?pdmfid=1516831&amp;crid=4012bb3e-9715-4970-be40-7e04c683aa6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orne+OR+Kilpisjarvi+OR+Miekojarvi+OR+Jerisjarvi+OR+Konkamaalven+OR+Lanioalven+OR+Lataseno+OR+Muonioalven+OR+Parkajoki+OR+Tornealven+OR+Tornetras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81" spans="1:12" ht="16" x14ac:dyDescent="0.2">
      <c r="A281" s="49" t="s">
        <v>769</v>
      </c>
      <c r="B281" s="49" t="s">
        <v>768</v>
      </c>
      <c r="C281" s="63" t="str" cm="1">
        <f t="array" ref="C281">_xlfn.XLOOKUP(A281,'Automation Prepping'!$A$2:'Automation Prepping'!$A$315, 'Automation Prepping'!$D$2:'Automation Prepping'!$D$315)</f>
        <v>Y (15 July 2022)</v>
      </c>
      <c r="D281" t="str" cm="1">
        <f t="array" ref="D281">_xlfn.XLOOKUP(A281,'Automation Prepping'!$A$2:'Automation Prepping'!$A$315, 'Automation Prepping'!$F$2:'Automation Prepping'!$F$315)</f>
        <v>Y</v>
      </c>
      <c r="F281" t="str" cm="1">
        <f t="array" ref="F281">_xlfn.XLOOKUP(A281,'Automation Prepping'!$A$2:'Automation Prepping'!$A$315, 'Automation Prepping'!$H$2:'Automation Prepping'!$H$315)</f>
        <v>Y</v>
      </c>
      <c r="L281" t="str" cm="1">
        <f t="array" ref="L281">_xlfn.XLOOKUP(A281,'Automation Prepping'!$A$2:'Automation Prepping'!$A$315, 'Automation Prepping'!$I$2:'Automation Prepping'!$I$315)</f>
        <v>https://advance-lexis-com.ezproxy.library.tufts.edu/search/?pdmfid=1516831&amp;crid=a17cf578-21ee-467f-8ea7-f08d52b46752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arim)+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82" spans="1:12" ht="16" x14ac:dyDescent="0.2">
      <c r="A282" s="49" t="s">
        <v>771</v>
      </c>
      <c r="B282" s="49" t="s">
        <v>772</v>
      </c>
      <c r="C282" s="63" t="str" cm="1">
        <f t="array" ref="C282">_xlfn.XLOOKUP(A282,'Automation Prepping'!$A$2:'Automation Prepping'!$A$315, 'Automation Prepping'!$D$2:'Automation Prepping'!$D$315)</f>
        <v>N</v>
      </c>
      <c r="D282" t="str" cm="1">
        <f t="array" ref="D282">_xlfn.XLOOKUP(A282,'Automation Prepping'!$A$2:'Automation Prepping'!$A$315, 'Automation Prepping'!$F$2:'Automation Prepping'!$F$315)</f>
        <v>Y</v>
      </c>
      <c r="F282" cm="1">
        <f t="array" ref="F282">_xlfn.XLOOKUP(A282,'Automation Prepping'!$A$2:'Automation Prepping'!$A$315, 'Automation Prepping'!$H$2:'Automation Prepping'!$H$315)</f>
        <v>0</v>
      </c>
      <c r="I282" t="s">
        <v>1448</v>
      </c>
      <c r="L282" t="str" cm="1">
        <f t="array" ref="L282">_xlfn.XLOOKUP(A282,'Automation Prepping'!$A$2:'Automation Prepping'!$A$315, 'Automation Prepping'!$I$2:'Automation Prepping'!$I$315)</f>
        <v>https://advance-lexis-com.ezproxy.library.tufts.edu/search/?pdmfid=1516831&amp;crid=b75180d5-a5d7-4a4d-9ea6-866758a17f71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uloma+OR+Iova+OR+Kovda+OR+Lotta+OR+Paz+OR+Tuloma+OR+Verhnetulomskoe+OR+Voroniy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8659fc5-873d-40a3-9e7d-6ce5941ad31a</v>
      </c>
    </row>
    <row r="283" spans="1:12" ht="16" x14ac:dyDescent="0.2">
      <c r="A283" s="49" t="s">
        <v>774</v>
      </c>
      <c r="B283" s="49" t="s">
        <v>773</v>
      </c>
      <c r="C283" s="63" t="str" cm="1">
        <f t="array" ref="C283">_xlfn.XLOOKUP(A283,'Automation Prepping'!$A$2:'Automation Prepping'!$A$315, 'Automation Prepping'!$D$2:'Automation Prepping'!$D$315)</f>
        <v>Y (15 July 2022)</v>
      </c>
      <c r="D283" t="str" cm="1">
        <f t="array" ref="D283">_xlfn.XLOOKUP(A283,'Automation Prepping'!$A$2:'Automation Prepping'!$A$315, 'Automation Prepping'!$F$2:'Automation Prepping'!$F$315)</f>
        <v>Y</v>
      </c>
      <c r="F283" t="str" cm="1">
        <f t="array" ref="F283">_xlfn.XLOOKUP(A283,'Automation Prepping'!$A$2:'Automation Prepping'!$A$315, 'Automation Prepping'!$H$2:'Automation Prepping'!$H$315)</f>
        <v>Y</v>
      </c>
      <c r="L283" t="str" cm="1">
        <f t="array" ref="L283">_xlfn.XLOOKUP(A283,'Automation Prepping'!$A$2:'Automation Prepping'!$A$315, 'Automation Prepping'!$I$2:'Automation Prepping'!$I$315)</f>
        <v>https://advance-lexis-com.ezproxy.library.tufts.edu/search/?pdmfid=1516831&amp;crid=4f716cdc-f611-496a-b8e1-6c0a03e9c3d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umbe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84" spans="1:12" ht="16" x14ac:dyDescent="0.2">
      <c r="A284" s="49" t="s">
        <v>776</v>
      </c>
      <c r="B284" s="49" t="s">
        <v>775</v>
      </c>
      <c r="C284" s="63" t="str" cm="1">
        <f t="array" ref="C284">_xlfn.XLOOKUP(A284,'Automation Prepping'!$A$2:'Automation Prepping'!$A$315, 'Automation Prepping'!$D$2:'Automation Prepping'!$D$315)</f>
        <v>Y (15 July 2022)</v>
      </c>
      <c r="D284" t="str" cm="1">
        <f t="array" ref="D284">_xlfn.XLOOKUP(A284,'Automation Prepping'!$A$2:'Automation Prepping'!$A$315, 'Automation Prepping'!$F$2:'Automation Prepping'!$F$315)</f>
        <v>Y</v>
      </c>
      <c r="F284" t="str" cm="1">
        <f t="array" ref="F284">_xlfn.XLOOKUP(A284,'Automation Prepping'!$A$2:'Automation Prepping'!$A$315, 'Automation Prepping'!$H$2:'Automation Prepping'!$H$315)</f>
        <v>Y</v>
      </c>
      <c r="L284" t="str" cm="1">
        <f t="array" ref="L284">_xlfn.XLOOKUP(A284,'Automation Prepping'!$A$2:'Automation Prepping'!$A$315, 'Automation Prepping'!$I$2:'Automation Prepping'!$I$315)</f>
        <v>https://advance-lexis-com.ezproxy.library.tufts.edu/search/?pdmfid=1516831&amp;crid=534f86ba-d2cd-490e-986c-cbd8402eb835&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Tum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85" spans="1:12" ht="16" x14ac:dyDescent="0.2">
      <c r="A285" s="49" t="s">
        <v>778</v>
      </c>
      <c r="B285" s="49" t="s">
        <v>779</v>
      </c>
      <c r="C285" s="63" t="str" cm="1">
        <f t="array" ref="C285">_xlfn.XLOOKUP(A285,'Automation Prepping'!$A$2:'Automation Prepping'!$A$315, 'Automation Prepping'!$D$2:'Automation Prepping'!$D$315)</f>
        <v>Y (15 July 2022)</v>
      </c>
      <c r="D285" t="str" cm="1">
        <f t="array" ref="D285">_xlfn.XLOOKUP(A285,'Automation Prepping'!$A$2:'Automation Prepping'!$A$315, 'Automation Prepping'!$F$2:'Automation Prepping'!$F$315)</f>
        <v>Y</v>
      </c>
      <c r="F285" t="str" cm="1">
        <f t="array" ref="F285">_xlfn.XLOOKUP(A285,'Automation Prepping'!$A$2:'Automation Prepping'!$A$315, 'Automation Prepping'!$H$2:'Automation Prepping'!$H$315)</f>
        <v>Y</v>
      </c>
      <c r="L285" t="str" cm="1">
        <f t="array" ref="L285">_xlfn.XLOOKUP(A285,'Automation Prepping'!$A$2:'Automation Prepping'!$A$315, 'Automation Prepping'!$I$2:'Automation Prepping'!$I$315)</f>
        <v>https://advance-lexis-com.ezproxy.library.tufts.edu/search/?pdmfid=1516831&amp;crid=87e17d97-0c58-450f-91ab-b0749bbf67f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mbeluzi+OR+Black+Umbuluzi+OR+White+Umbuluz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86" spans="1:12" ht="16" x14ac:dyDescent="0.2">
      <c r="A286" s="49" t="s">
        <v>781</v>
      </c>
      <c r="B286" s="49" t="s">
        <v>780</v>
      </c>
      <c r="C286" s="63" t="str" cm="1">
        <f t="array" ref="C286">_xlfn.XLOOKUP(A286,'Automation Prepping'!$A$2:'Automation Prepping'!$A$315, 'Automation Prepping'!$D$2:'Automation Prepping'!$D$315)</f>
        <v>Y (15 July 2022)</v>
      </c>
      <c r="D286" t="str" cm="1">
        <f t="array" ref="D286">_xlfn.XLOOKUP(A286,'Automation Prepping'!$A$2:'Automation Prepping'!$A$315, 'Automation Prepping'!$F$2:'Automation Prepping'!$F$315)</f>
        <v>Y</v>
      </c>
      <c r="F286" t="str" cm="1">
        <f t="array" ref="F286">_xlfn.XLOOKUP(A286,'Automation Prepping'!$A$2:'Automation Prepping'!$A$315, 'Automation Prepping'!$H$2:'Automation Prepping'!$H$315)</f>
        <v>Y</v>
      </c>
      <c r="L286" t="str" cm="1">
        <f t="array" ref="L286">_xlfn.XLOOKUP(A286,'Automation Prepping'!$A$2:'Automation Prepping'!$A$315, 'Automation Prepping'!$I$2:'Automation Prepping'!$I$315)</f>
        <v>https://advance-lexis-com.ezproxy.library.tufts.edu/search/?pdmfid=1516831&amp;crid=de3ee4fe-d8b7-495b-b009-bd90898c3534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mb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87" spans="1:12" ht="16" x14ac:dyDescent="0.2">
      <c r="A287" s="49" t="s">
        <v>783</v>
      </c>
      <c r="B287" s="49" t="s">
        <v>782</v>
      </c>
      <c r="C287" s="63" t="str" cm="1">
        <f t="array" ref="C287">_xlfn.XLOOKUP(A287,'Automation Prepping'!$A$2:'Automation Prepping'!$A$315, 'Automation Prepping'!$D$2:'Automation Prepping'!$D$315)</f>
        <v>Y (15 July 2022)</v>
      </c>
      <c r="D287" t="str" cm="1">
        <f t="array" ref="D287">_xlfn.XLOOKUP(A287,'Automation Prepping'!$A$2:'Automation Prepping'!$A$315, 'Automation Prepping'!$F$2:'Automation Prepping'!$F$315)</f>
        <v>Y</v>
      </c>
      <c r="F287" t="str" cm="1">
        <f t="array" ref="F287">_xlfn.XLOOKUP(A287,'Automation Prepping'!$A$2:'Automation Prepping'!$A$315, 'Automation Prepping'!$H$2:'Automation Prepping'!$H$315)</f>
        <v>Y</v>
      </c>
      <c r="L287" t="str" cm="1">
        <f t="array" ref="L287">_xlfn.XLOOKUP(A287,'Automation Prepping'!$A$2:'Automation Prepping'!$A$315, 'Automation Prepping'!$I$2:'Automation Prepping'!$I$315)</f>
        <v>https://advance-lexis-com.ezproxy.library.tufts.edu/search/?pdmfid=1516831&amp;crid=6a2d85b6-4006-4bca-84c5-4140fc17baa3&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nuk)+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88" spans="1:12" ht="16" x14ac:dyDescent="0.2">
      <c r="A288" s="49" t="s">
        <v>785</v>
      </c>
      <c r="B288" s="49" t="s">
        <v>784</v>
      </c>
      <c r="C288" s="63" t="str" cm="1">
        <f t="array" ref="C288">_xlfn.XLOOKUP(A288,'Automation Prepping'!$A$2:'Automation Prepping'!$A$315, 'Automation Prepping'!$D$2:'Automation Prepping'!$D$315)</f>
        <v>Y (15 July 2022)</v>
      </c>
      <c r="D288" cm="1">
        <f t="array" ref="D288">_xlfn.XLOOKUP(A288,'Automation Prepping'!$A$2:'Automation Prepping'!$A$315, 'Automation Prepping'!$F$2:'Automation Prepping'!$F$315)</f>
        <v>0</v>
      </c>
      <c r="F288" cm="1">
        <f t="array" ref="F288">_xlfn.XLOOKUP(A288,'Automation Prepping'!$A$2:'Automation Prepping'!$A$315, 'Automation Prepping'!$H$2:'Automation Prepping'!$H$315)</f>
        <v>0</v>
      </c>
      <c r="L288" t="str" cm="1">
        <f t="array" ref="L288">_xlfn.XLOOKUP(A288,'Automation Prepping'!$A$2:'Automation Prepping'!$A$315, 'Automation Prepping'!$I$2:'Automation Prepping'!$I$315)</f>
        <v>https://advance-lexis-com.ezproxy.library.tufts.edu/search/?pdmfid=1516831&amp;crid=356752be-1546-4f01-9d25-ddeb4ffc4898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Utambon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89" spans="1:12" ht="16" x14ac:dyDescent="0.2">
      <c r="A289" s="49" t="s">
        <v>787</v>
      </c>
      <c r="B289" s="49" t="s">
        <v>788</v>
      </c>
      <c r="C289" s="63" t="str" cm="1">
        <f t="array" ref="C289">_xlfn.XLOOKUP(A289,'Automation Prepping'!$A$2:'Automation Prepping'!$A$315, 'Automation Prepping'!$D$2:'Automation Prepping'!$D$315)</f>
        <v>N</v>
      </c>
      <c r="D289" t="str" cm="1">
        <f t="array" ref="D289">_xlfn.XLOOKUP(A289,'Automation Prepping'!$A$2:'Automation Prepping'!$A$315, 'Automation Prepping'!$F$2:'Automation Prepping'!$F$315)</f>
        <v>Need Add to 2024</v>
      </c>
      <c r="F289" cm="1">
        <f t="array" ref="F289">_xlfn.XLOOKUP(A289,'Automation Prepping'!$A$2:'Automation Prepping'!$A$315, 'Automation Prepping'!$H$2:'Automation Prepping'!$H$315)</f>
        <v>0</v>
      </c>
      <c r="I289" t="s">
        <v>1448</v>
      </c>
      <c r="L289" t="str" cm="1">
        <f t="array" ref="L289">_xlfn.XLOOKUP(A289,'Automation Prepping'!$A$2:'Automation Prepping'!$A$315, 'Automation Prepping'!$I$2:'Automation Prepping'!$I$315)</f>
        <v>https://advance-lexis-com.ezproxy.library.tufts.edu/search/?pdmfid=1516831&amp;crid=15d6bb0c-18ad-44e4-8561-d2855ef69770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animo+OR+CAPS(Gree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290" spans="1:12" ht="16" x14ac:dyDescent="0.2">
      <c r="A290" s="49" t="s">
        <v>790</v>
      </c>
      <c r="B290" s="49" t="s">
        <v>789</v>
      </c>
      <c r="C290" s="63" t="str" cm="1">
        <f t="array" ref="C290">_xlfn.XLOOKUP(A290,'Automation Prepping'!$A$2:'Automation Prepping'!$A$315, 'Automation Prepping'!$D$2:'Automation Prepping'!$D$315)</f>
        <v>Y (15 July 2022)</v>
      </c>
      <c r="D290" t="str" cm="1">
        <f t="array" ref="D290">_xlfn.XLOOKUP(A290,'Automation Prepping'!$A$2:'Automation Prepping'!$A$315, 'Automation Prepping'!$F$2:'Automation Prepping'!$F$315)</f>
        <v>Y</v>
      </c>
      <c r="F290" t="str" cm="1">
        <f t="array" ref="F290">_xlfn.XLOOKUP(A290,'Automation Prepping'!$A$2:'Automation Prepping'!$A$315, 'Automation Prepping'!$H$2:'Automation Prepping'!$H$315)</f>
        <v>Y</v>
      </c>
      <c r="L290" t="str" cm="1">
        <f t="array" ref="L290">_xlfn.XLOOKUP(A290,'Automation Prepping'!$A$2:'Automation Prepping'!$A$315, 'Automation Prepping'!$I$2:'Automation Prepping'!$I$315)</f>
        <v>https://advance-lexis-com.ezproxy.library.tufts.edu/search/?pdmfid=1516831&amp;crid=9f8f0c25-3266-4461-a4c5-dd698f1ee2c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cht)+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91" spans="1:12" ht="16" x14ac:dyDescent="0.2">
      <c r="A291" s="49" t="s">
        <v>792</v>
      </c>
      <c r="B291" s="49" t="s">
        <v>791</v>
      </c>
      <c r="C291" s="63" t="str" cm="1">
        <f t="array" ref="C291">_xlfn.XLOOKUP(A291,'Automation Prepping'!$A$2:'Automation Prepping'!$A$315, 'Automation Prepping'!$D$2:'Automation Prepping'!$D$315)</f>
        <v>Y (15 July 2022)</v>
      </c>
      <c r="D291" t="str" cm="1">
        <f t="array" ref="D291">_xlfn.XLOOKUP(A291,'Automation Prepping'!$A$2:'Automation Prepping'!$A$315, 'Automation Prepping'!$F$2:'Automation Prepping'!$F$315)</f>
        <v>Y</v>
      </c>
      <c r="F291" t="str" cm="1">
        <f t="array" ref="F291">_xlfn.XLOOKUP(A291,'Automation Prepping'!$A$2:'Automation Prepping'!$A$315, 'Automation Prepping'!$H$2:'Automation Prepping'!$H$315)</f>
        <v>Y</v>
      </c>
      <c r="L291" t="str" cm="1">
        <f t="array" ref="L291">_xlfn.XLOOKUP(A291,'Automation Prepping'!$A$2:'Automation Prepping'!$A$315, 'Automation Prepping'!$I$2:'Automation Prepping'!$I$315)</f>
        <v>https://advance-lexis-com.ezproxy.library.tufts.edu/search/?pdmfid=1516831&amp;crid=93c7bd87-1407-4c4a-83fc-450b0fb3fae9&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aldivi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92" spans="1:12" ht="16" x14ac:dyDescent="0.2">
      <c r="A292" s="49" t="s">
        <v>794</v>
      </c>
      <c r="B292" s="49" t="s">
        <v>795</v>
      </c>
      <c r="C292" s="63" t="str" cm="1">
        <f t="array" ref="C292">_xlfn.XLOOKUP(A292,'Automation Prepping'!$A$2:'Automation Prepping'!$A$315, 'Automation Prepping'!$D$2:'Automation Prepping'!$D$315)</f>
        <v>Y (15 July 2022)</v>
      </c>
      <c r="D292" t="str" cm="1">
        <f t="array" ref="D292">_xlfn.XLOOKUP(A292,'Automation Prepping'!$A$2:'Automation Prepping'!$A$315, 'Automation Prepping'!$F$2:'Automation Prepping'!$F$315)</f>
        <v>Y</v>
      </c>
      <c r="F292" t="str" cm="1">
        <f t="array" ref="F292">_xlfn.XLOOKUP(A292,'Automation Prepping'!$A$2:'Automation Prepping'!$A$315, 'Automation Prepping'!$H$2:'Automation Prepping'!$H$315)</f>
        <v>Y</v>
      </c>
      <c r="L292" t="str" cm="1">
        <f t="array" ref="L292">_xlfn.XLOOKUP(A292,'Automation Prepping'!$A$2:'Automation Prepping'!$A$315, 'Automation Prepping'!$I$2:'Automation Prepping'!$I$315)</f>
        <v>https://advance-lexis-com.ezproxy.library.tufts.edu/search/?pdmfid=1516831&amp;crid=da1e58a5-6bf6-44e9-962c-84041265a4f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nta+OR+Lukstas)+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93" spans="1:12" ht="16" x14ac:dyDescent="0.2">
      <c r="A293" s="49" t="s">
        <v>797</v>
      </c>
      <c r="B293" s="49" t="s">
        <v>796</v>
      </c>
      <c r="C293" s="63" t="str" cm="1">
        <f t="array" ref="C293">_xlfn.XLOOKUP(A293,'Automation Prepping'!$A$2:'Automation Prepping'!$A$315, 'Automation Prepping'!$D$2:'Automation Prepping'!$D$315)</f>
        <v>Y (15 July 2022)</v>
      </c>
      <c r="D293" cm="1">
        <f t="array" ref="D293">_xlfn.XLOOKUP(A293,'Automation Prepping'!$A$2:'Automation Prepping'!$A$315, 'Automation Prepping'!$F$2:'Automation Prepping'!$F$315)</f>
        <v>0</v>
      </c>
      <c r="F293" cm="1">
        <f t="array" ref="F293">_xlfn.XLOOKUP(A293,'Automation Prepping'!$A$2:'Automation Prepping'!$A$315, 'Automation Prepping'!$H$2:'Automation Prepping'!$H$315)</f>
        <v>0</v>
      </c>
      <c r="L293" t="str" cm="1">
        <f t="array" ref="L293">_xlfn.XLOOKUP(A293,'Automation Prepping'!$A$2:'Automation Prepping'!$A$315, 'Automation Prepping'!$I$2:'Automation Prepping'!$I$315)</f>
        <v>https://advance-lexis-com.ezproxy.library.tufts.edu/search/?pdmfid=1516831&amp;crid=13e7ba9c-eea7-4fbd-a30c-04e2c615c188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fs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94" spans="1:12" ht="16" x14ac:dyDescent="0.2">
      <c r="A294" s="49" t="s">
        <v>799</v>
      </c>
      <c r="B294" s="49" t="s">
        <v>800</v>
      </c>
      <c r="C294" s="63" t="str" cm="1">
        <f t="array" ref="C294">_xlfn.XLOOKUP(A294,'Automation Prepping'!$A$2:'Automation Prepping'!$A$315, 'Automation Prepping'!$D$2:'Automation Prepping'!$D$315)</f>
        <v>N</v>
      </c>
      <c r="D294" t="str" cm="1">
        <f t="array" ref="D294">_xlfn.XLOOKUP(A294,'Automation Prepping'!$A$2:'Automation Prepping'!$A$315, 'Automation Prepping'!$F$2:'Automation Prepping'!$F$315)</f>
        <v>Y</v>
      </c>
      <c r="F294" t="str" cm="1">
        <f t="array" ref="F294">_xlfn.XLOOKUP(A294,'Automation Prepping'!$A$2:'Automation Prepping'!$A$315, 'Automation Prepping'!$H$2:'Automation Prepping'!$H$315)</f>
        <v>Y</v>
      </c>
      <c r="I294" t="s">
        <v>1448</v>
      </c>
      <c r="L294" t="str" cm="1">
        <f t="array" ref="L294">_xlfn.XLOOKUP(A294,'Automation Prepping'!$A$2:'Automation Prepping'!$A$315, 'Automation Prepping'!$I$2:'Automation Prepping'!$I$315)</f>
        <v>https://advance.lexis.com/search/?pdmfid=1516831&amp;crid=a6535112-0953-46fc-a2b5-7286550cee7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ijose+OR+Brete+OR+Caush+OR+Cekreze+OR+Cycen+OR+Divjak+OR+Drin+OR+Dukaj+OR+Dushk+OR+Erzen+OR+Gadurove+OR+Germet+OR+Gjanice+OR+Gjokaj+OR+Gjynagal+OR+Holte+OR+Karbunar+OR+Kryekugi+OR+Malthike+OR+Manastir+OR+Manasufaj+OR+Morush+OR+Murriz+OR+Nashies+OR+P.+madh+OR+Paskugan+OR+Pellg+OR+Perit+OR+Petresh+OR+Peze+OR+Prroi+I+zi+OR+Prroji+arrave+OR+Prroji+buzit+OR+Prroji+zi+OR+Purrez+OR+Sauk+OR+Shegas+OR+Shkumbin+OR+Shupal+OR+Skrevanit+OR+Subloze+OR+Suka+OR+Tapize+OR+Teplas+OR+Terkuze+OR+Tirane+OR+Tomorrice+OR+Uji+mbare+OR+Vashaj+OR+Vinokash+OR+Vrap+OR+Zajce+OR+Zh.I+kuq+OR+Aoos+OR+Vjos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oc</v>
      </c>
    </row>
    <row r="295" spans="1:12" ht="16" x14ac:dyDescent="0.2">
      <c r="A295" s="49" t="s">
        <v>803</v>
      </c>
      <c r="B295" s="49" t="s">
        <v>802</v>
      </c>
      <c r="C295" s="63" t="str" cm="1">
        <f t="array" ref="C295">_xlfn.XLOOKUP(A295,'Automation Prepping'!$A$2:'Automation Prepping'!$A$315, 'Automation Prepping'!$D$2:'Automation Prepping'!$D$315)</f>
        <v>Y (15 July 2022)</v>
      </c>
      <c r="D295" cm="1">
        <f t="array" ref="D295">_xlfn.XLOOKUP(A295,'Automation Prepping'!$A$2:'Automation Prepping'!$A$315, 'Automation Prepping'!$F$2:'Automation Prepping'!$F$315)</f>
        <v>0</v>
      </c>
      <c r="F295" cm="1">
        <f t="array" ref="F295">_xlfn.XLOOKUP(A295,'Automation Prepping'!$A$2:'Automation Prepping'!$A$315, 'Automation Prepping'!$H$2:'Automation Prepping'!$H$315)</f>
        <v>0</v>
      </c>
      <c r="L295" t="str" cm="1">
        <f t="array" ref="L295">_xlfn.XLOOKUP(A295,'Automation Prepping'!$A$2:'Automation Prepping'!$A$315, 'Automation Prepping'!$I$2:'Automation Prepping'!$I$315)</f>
        <v>https://advance-lexis-com.ezproxy.library.tufts.edu/search/?pdmfid=1516831&amp;crid=4efefe6b-c561-4377-a040-5e252ea23690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ela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96" spans="1:12" ht="16" x14ac:dyDescent="0.2">
      <c r="A296" s="49" t="s">
        <v>805</v>
      </c>
      <c r="B296" s="49" t="s">
        <v>806</v>
      </c>
      <c r="C296" s="63" t="str" cm="1">
        <f t="array" ref="C296">_xlfn.XLOOKUP(A296,'Automation Prepping'!$A$2:'Automation Prepping'!$A$315, 'Automation Prepping'!$D$2:'Automation Prepping'!$D$315)</f>
        <v>N</v>
      </c>
      <c r="D296" t="str" cm="1">
        <f t="array" ref="D296">_xlfn.XLOOKUP(A296,'Automation Prepping'!$A$2:'Automation Prepping'!$A$315, 'Automation Prepping'!$F$2:'Automation Prepping'!$F$315)</f>
        <v>Y</v>
      </c>
      <c r="F296" cm="1">
        <f t="array" ref="F296">_xlfn.XLOOKUP(A296,'Automation Prepping'!$A$2:'Automation Prepping'!$A$315, 'Automation Prepping'!$H$2:'Automation Prepping'!$H$315)</f>
        <v>0</v>
      </c>
      <c r="L296" t="str" cm="1">
        <f t="array" ref="L296">_xlfn.XLOOKUP(A296,'Automation Prepping'!$A$2:'Automation Prepping'!$A$315, 'Automation Prepping'!$I$2:'Automation Prepping'!$I$315)</f>
        <v>https://advance-lexis-com.ezproxy.library.tufts.edu/search/?pdmfid=1516831&amp;crid=d3214556-ec66-4938-ac5a-5d7dcb63d23b&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olga+OR+Sheksn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v>
      </c>
    </row>
    <row r="297" spans="1:12" ht="16" x14ac:dyDescent="0.2">
      <c r="A297" s="49" t="s">
        <v>808</v>
      </c>
      <c r="B297" s="49" t="s">
        <v>809</v>
      </c>
      <c r="C297" s="63" t="str" cm="1">
        <f t="array" ref="C297">_xlfn.XLOOKUP(A297,'Automation Prepping'!$A$2:'Automation Prepping'!$A$315, 'Automation Prepping'!$D$2:'Automation Prepping'!$D$315)</f>
        <v>N</v>
      </c>
      <c r="D297" t="str" cm="1">
        <f t="array" ref="D297">_xlfn.XLOOKUP(A297,'Automation Prepping'!$A$2:'Automation Prepping'!$A$315, 'Automation Prepping'!$F$2:'Automation Prepping'!$F$315)</f>
        <v>Y</v>
      </c>
      <c r="F297" cm="1">
        <f t="array" ref="F297">_xlfn.XLOOKUP(A297,'Automation Prepping'!$A$2:'Automation Prepping'!$A$315, 'Automation Prepping'!$H$2:'Automation Prepping'!$H$315)</f>
        <v>0</v>
      </c>
      <c r="I297" t="s">
        <v>1448</v>
      </c>
      <c r="L297" t="str" cm="1">
        <f t="array" ref="L297">_xlfn.XLOOKUP(A297,'Automation Prepping'!$A$2:'Automation Prepping'!$A$315, 'Automation Prepping'!$I$2:'Automation Prepping'!$I$315)</f>
        <v>https://advance-lexis-com.ezproxy.library.tufts.edu/search/?pdmfid=1516831&amp;crid=e3da6b55-934f-47b5-8184-0cfc958985e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olta+OR+Massili+OR+Mouhoun+OR+CAPS(Black+Volta)+OR+Nakanbe+OR+CAPS(White+Volta)+OR+Nazinon+OR+CAPS(Red+Volta)+OR+Nkambe+OR+Volta+Blanche+OR+Daka+OR+Kulpawn+OR+Oti+OR+Ton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2b50beb2-e072-4297-b381-b67d966993ed</v>
      </c>
    </row>
    <row r="298" spans="1:12" ht="16" x14ac:dyDescent="0.2">
      <c r="A298" s="49" t="s">
        <v>811</v>
      </c>
      <c r="B298" s="49" t="s">
        <v>812</v>
      </c>
      <c r="C298" s="63" t="str" cm="1">
        <f t="array" ref="C298">_xlfn.XLOOKUP(A298,'Automation Prepping'!$A$2:'Automation Prepping'!$A$315, 'Automation Prepping'!$D$2:'Automation Prepping'!$D$315)</f>
        <v>Y (15 July 2022)</v>
      </c>
      <c r="D298" t="str" cm="1">
        <f t="array" ref="D298">_xlfn.XLOOKUP(A298,'Automation Prepping'!$A$2:'Automation Prepping'!$A$315, 'Automation Prepping'!$F$2:'Automation Prepping'!$F$315)</f>
        <v>Y</v>
      </c>
      <c r="F298" t="str" cm="1">
        <f t="array" ref="F298">_xlfn.XLOOKUP(A298,'Automation Prepping'!$A$2:'Automation Prepping'!$A$315, 'Automation Prepping'!$H$2:'Automation Prepping'!$H$315)</f>
        <v>Y</v>
      </c>
      <c r="L298" t="str" cm="1">
        <f t="array" ref="L298">_xlfn.XLOOKUP(A298,'Automation Prepping'!$A$2:'Automation Prepping'!$A$315, 'Automation Prepping'!$I$2:'Automation Prepping'!$I$315)</f>
        <v>https://advance-lexis-com.ezproxy.library.tufts.edu/search/?pdmfid=1516831&amp;crid=4ab7c844-7b41-4440-9b07-aeaacdedbcd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ardar+OR+Bregalnica+OR+Crna+OR+Kriva+OR+Pcinja+OR+Treska+OR+Crna+Reka+OR+Kocanska+OR+Lepenac+OR+Tresc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299" spans="1:12" ht="16" x14ac:dyDescent="0.2">
      <c r="A299" s="49" t="s">
        <v>814</v>
      </c>
      <c r="B299" s="49" t="s">
        <v>815</v>
      </c>
      <c r="C299" s="63" t="str" cm="1">
        <f t="array" ref="C299">_xlfn.XLOOKUP(A299,'Automation Prepping'!$A$2:'Automation Prepping'!$A$315, 'Automation Prepping'!$D$2:'Automation Prepping'!$D$315)</f>
        <v>N</v>
      </c>
      <c r="D299" t="str" cm="1">
        <f t="array" ref="D299">_xlfn.XLOOKUP(A299,'Automation Prepping'!$A$2:'Automation Prepping'!$A$315, 'Automation Prepping'!$F$2:'Automation Prepping'!$F$315)</f>
        <v>Need Add to 2024</v>
      </c>
      <c r="F299" cm="1">
        <f t="array" ref="F299">_xlfn.XLOOKUP(A299,'Automation Prepping'!$A$2:'Automation Prepping'!$A$315, 'Automation Prepping'!$H$2:'Automation Prepping'!$H$315)</f>
        <v>0</v>
      </c>
      <c r="I299" t="s">
        <v>1448</v>
      </c>
      <c r="L299" t="str" cm="1">
        <f t="array" ref="L299">_xlfn.XLOOKUP(A299,'Automation Prepping'!$A$2:'Automation Prepping'!$A$315, 'Automation Prepping'!$I$2:'Automation Prepping'!$I$315)</f>
        <v>https://advance-lexis-com.ezproxy.library.tufts.edu/search/?pdmfid=1516831&amp;crid=d1590155-18f6-4451-a50d-4a879ffa9bb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istula+OR+Wista+OR+Lyasnaya+OR+Mukhavyets+OR+Ryta+OR+Biata+OR+Biatka+OR+Bug+OR+Bystrzyca+OR+Bzura+OR+Czarna+OR+Drweca+OR+Dtubnia+OR+Dunajec+OR+Itzanka+OR+Jezioro+Jeziorak+OR+Jeziorka+OR+Krzna+OR+CAPS(Leg)+OR+Liwiec+OR+Lubuczowka+OR+Mtawka+OR+Nida+OR+Nurzec+OR+Ostaroa+OR+Pilica+OR+Raba+OR+Radomka+OR+Rzadza+OR+CAPS(San)+OR+Skrwa+OR+Sona+OR+Swider+OR+Wieprz+OR+Wistok+OR+Wistoka+OR+Wkra+OR+Wolica+OR+Zielawa+OR+Ozera+Svityaz%27k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oc</v>
      </c>
    </row>
    <row r="300" spans="1:12" ht="16" x14ac:dyDescent="0.2">
      <c r="A300" s="49" t="s">
        <v>817</v>
      </c>
      <c r="B300" s="49" t="s">
        <v>818</v>
      </c>
      <c r="C300" s="63" t="str" cm="1">
        <f t="array" ref="C300">_xlfn.XLOOKUP(A300,'Automation Prepping'!$A$2:'Automation Prepping'!$A$315, 'Automation Prepping'!$D$2:'Automation Prepping'!$D$315)</f>
        <v>Y (15 July 2022)</v>
      </c>
      <c r="D300" cm="1">
        <f t="array" ref="D300">_xlfn.XLOOKUP(A300,'Automation Prepping'!$A$2:'Automation Prepping'!$A$315, 'Automation Prepping'!$F$2:'Automation Prepping'!$F$315)</f>
        <v>0</v>
      </c>
      <c r="F300" cm="1">
        <f t="array" ref="F300">_xlfn.XLOOKUP(A300,'Automation Prepping'!$A$2:'Automation Prepping'!$A$315, 'Automation Prepping'!$H$2:'Automation Prepping'!$H$315)</f>
        <v>0</v>
      </c>
      <c r="L300" t="str" cm="1">
        <f t="array" ref="L300">_xlfn.XLOOKUP(A300,'Automation Prepping'!$A$2:'Automation Prepping'!$A$315, 'Automation Prepping'!$I$2:'Automation Prepping'!$I$315)</f>
        <v>https://advance-lexis-com.ezproxy.library.tufts.edu/search/?pdmfid=1516831&amp;crid=5cd19182-bb00-4cef-ad18-d325be3b15f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Vuoksa+OR+Koitajoki+OR+Pielisjok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301" spans="1:12" ht="16" x14ac:dyDescent="0.2">
      <c r="A301" s="49" t="s">
        <v>820</v>
      </c>
      <c r="B301" s="49" t="s">
        <v>819</v>
      </c>
      <c r="C301" s="63" t="str" cm="1">
        <f t="array" ref="C301">_xlfn.XLOOKUP(A301,'Automation Prepping'!$A$2:'Automation Prepping'!$A$315, 'Automation Prepping'!$D$2:'Automation Prepping'!$D$315)</f>
        <v>N</v>
      </c>
      <c r="D301" t="str" cm="1">
        <f t="array" ref="D301">_xlfn.XLOOKUP(A301,'Automation Prepping'!$A$2:'Automation Prepping'!$A$315, 'Automation Prepping'!$F$2:'Automation Prepping'!$F$315)</f>
        <v>Y</v>
      </c>
      <c r="F301" t="str" cm="1">
        <f t="array" ref="F301">_xlfn.XLOOKUP(A301,'Automation Prepping'!$A$2:'Automation Prepping'!$A$315, 'Automation Prepping'!$H$2:'Automation Prepping'!$H$315)</f>
        <v>Y</v>
      </c>
      <c r="I301" t="s">
        <v>1448</v>
      </c>
      <c r="L301" t="str" cm="1">
        <f t="array" ref="L301">_xlfn.XLOOKUP(A301,'Automation Prepping'!$A$2:'Automation Prepping'!$A$315, 'Automation Prepping'!$I$2:'Automation Prepping'!$I$315)</f>
        <v>https://advance.lexis.com/search/?pdmfid=1516831&amp;crid=cc5c457a-ae25-4fb3-836c-86d495a40506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Whiting)+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27c491ae-e88a-432a-b97e-eae8036d8188</v>
      </c>
    </row>
    <row r="302" spans="1:12" ht="16" x14ac:dyDescent="0.2">
      <c r="A302" s="49" t="s">
        <v>822</v>
      </c>
      <c r="B302" s="49" t="s">
        <v>821</v>
      </c>
      <c r="C302" s="63" t="str" cm="1">
        <f t="array" ref="C302">_xlfn.XLOOKUP(A302,'Automation Prepping'!$A$2:'Automation Prepping'!$A$315, 'Automation Prepping'!$D$2:'Automation Prepping'!$D$315)</f>
        <v>Y (15 July 2022)</v>
      </c>
      <c r="D302" t="str" cm="1">
        <f t="array" ref="D302">_xlfn.XLOOKUP(A302,'Automation Prepping'!$A$2:'Automation Prepping'!$A$315, 'Automation Prepping'!$F$2:'Automation Prepping'!$F$315)</f>
        <v>Y</v>
      </c>
      <c r="F302" t="str" cm="1">
        <f t="array" ref="F302">_xlfn.XLOOKUP(A302,'Automation Prepping'!$A$2:'Automation Prepping'!$A$315, 'Automation Prepping'!$H$2:'Automation Prepping'!$H$315)</f>
        <v>Y</v>
      </c>
      <c r="L302" t="str" cm="1">
        <f t="array" ref="L302">_xlfn.XLOOKUP(A302,'Automation Prepping'!$A$2:'Automation Prepping'!$A$315, 'Automation Prepping'!$I$2:'Automation Prepping'!$I$315)</f>
        <v>https://advance-lexis-com.ezproxy.library.tufts.edu/search/?pdmfid=1516831&amp;crid=f8478c6f-b900-4e47-a986-425c08f6d49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Wieda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303" spans="1:12" ht="16" x14ac:dyDescent="0.2">
      <c r="A303" s="49" t="s">
        <v>824</v>
      </c>
      <c r="B303" s="49" t="s">
        <v>823</v>
      </c>
      <c r="C303" s="63" t="str" cm="1">
        <f t="array" ref="C303">_xlfn.XLOOKUP(A303,'Automation Prepping'!$A$2:'Automation Prepping'!$A$315, 'Automation Prepping'!$D$2:'Automation Prepping'!$D$315)</f>
        <v>Y (15 July 2022)</v>
      </c>
      <c r="D303" t="str" cm="1">
        <f t="array" ref="D303">_xlfn.XLOOKUP(A303,'Automation Prepping'!$A$2:'Automation Prepping'!$A$315, 'Automation Prepping'!$F$2:'Automation Prepping'!$F$315)</f>
        <v>Y</v>
      </c>
      <c r="F303" t="str" cm="1">
        <f t="array" ref="F303">_xlfn.XLOOKUP(A303,'Automation Prepping'!$A$2:'Automation Prepping'!$A$315, 'Automation Prepping'!$H$2:'Automation Prepping'!$H$315)</f>
        <v>Y</v>
      </c>
      <c r="L303" t="str" cm="1">
        <f t="array" ref="L303">_xlfn.XLOOKUP(A303,'Automation Prepping'!$A$2:'Automation Prepping'!$A$315, 'Automation Prepping'!$I$2:'Automation Prepping'!$I$315)</f>
        <v>https://advance-lexis-com.ezproxy.library.tufts.edu/search/?pdmfid=1516831&amp;crid=467049d4-586f-49c9-b92a-5e3b1fe91c6c&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Yalu)+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304" spans="1:12" ht="16" x14ac:dyDescent="0.2">
      <c r="A304" s="49" t="s">
        <v>826</v>
      </c>
      <c r="B304" s="49" t="s">
        <v>827</v>
      </c>
      <c r="C304" s="63" t="str" cm="1">
        <f t="array" ref="C304">_xlfn.XLOOKUP(A304,'Automation Prepping'!$A$2:'Automation Prepping'!$A$315, 'Automation Prepping'!$D$2:'Automation Prepping'!$D$315)</f>
        <v>N</v>
      </c>
      <c r="D304" t="str" cm="1">
        <f t="array" ref="D304">_xlfn.XLOOKUP(A304,'Automation Prepping'!$A$2:'Automation Prepping'!$A$315, 'Automation Prepping'!$F$2:'Automation Prepping'!$F$315)</f>
        <v>Y</v>
      </c>
      <c r="F304" cm="1">
        <f t="array" ref="F304">_xlfn.XLOOKUP(A304,'Automation Prepping'!$A$2:'Automation Prepping'!$A$315, 'Automation Prepping'!$H$2:'Automation Prepping'!$H$315)</f>
        <v>0</v>
      </c>
      <c r="L304" t="str" cm="1">
        <f t="array" ref="L304">_xlfn.XLOOKUP(A304,'Automation Prepping'!$A$2:'Automation Prepping'!$A$315, 'Automation Prepping'!$I$2:'Automation Prepping'!$I$315)</f>
        <v>https://advance-lexis-com.ezproxy.library.tufts.edu/search/?pdmfid=1516831&amp;crid=bd61bc14-5110-472a-9268-b6b77375e5c1&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ros+OR+Laguna+de+los+Mexicanos+OR+Nacozari+OR+Papigochic+OR+Presu+de+la+Angostura+OR+Santa+Maria+OR+Tomochic+OR+Tutuaca+OR+Yaqu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bebd528b-63a0-401f-b4af-88240dc020e2</v>
      </c>
    </row>
    <row r="305" spans="1:12" ht="16" x14ac:dyDescent="0.2">
      <c r="A305" s="49" t="s">
        <v>829</v>
      </c>
      <c r="B305" s="49" t="s">
        <v>828</v>
      </c>
      <c r="C305" s="63" t="str" cm="1">
        <f t="array" ref="C305">_xlfn.XLOOKUP(A305,'Automation Prepping'!$A$2:'Automation Prepping'!$A$315, 'Automation Prepping'!$D$2:'Automation Prepping'!$D$315)</f>
        <v>Y (15 July 2022)</v>
      </c>
      <c r="D305" cm="1">
        <f t="array" ref="D305">_xlfn.XLOOKUP(A305,'Automation Prepping'!$A$2:'Automation Prepping'!$A$315, 'Automation Prepping'!$F$2:'Automation Prepping'!$F$315)</f>
        <v>0</v>
      </c>
      <c r="F305" cm="1">
        <f t="array" ref="F305">_xlfn.XLOOKUP(A305,'Automation Prepping'!$A$2:'Automation Prepping'!$A$315, 'Automation Prepping'!$H$2:'Automation Prepping'!$H$315)</f>
        <v>0</v>
      </c>
      <c r="L305" t="str" cm="1">
        <f t="array" ref="L305">_xlfn.XLOOKUP(A305,'Automation Prepping'!$A$2:'Automation Prepping'!$A$315, 'Automation Prepping'!$I$2:'Automation Prepping'!$I$315)</f>
        <v>https://advance-lexis-com.ezproxy.library.tufts.edu/search/?pdmfid=1516831&amp;crid=f6b33d84-e42f-44a0-9ace-0aaa1875e5f7&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Yelcho)+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306" spans="1:12" ht="16" x14ac:dyDescent="0.2">
      <c r="A306" s="49" t="s">
        <v>832</v>
      </c>
      <c r="B306" s="49" t="s">
        <v>833</v>
      </c>
      <c r="C306" s="63" t="str" cm="1">
        <f t="array" ref="C306">_xlfn.XLOOKUP(A306,'Automation Prepping'!$A$2:'Automation Prepping'!$A$315, 'Automation Prepping'!$D$2:'Automation Prepping'!$D$315)</f>
        <v>N</v>
      </c>
      <c r="D306" t="str" cm="1">
        <f t="array" ref="D306">_xlfn.XLOOKUP(A306,'Automation Prepping'!$A$2:'Automation Prepping'!$A$315, 'Automation Prepping'!$F$2:'Automation Prepping'!$F$315)</f>
        <v>Y</v>
      </c>
      <c r="F306" cm="1">
        <f t="array" ref="F306">_xlfn.XLOOKUP(A306,'Automation Prepping'!$A$2:'Automation Prepping'!$A$315, 'Automation Prepping'!$H$2:'Automation Prepping'!$H$315)</f>
        <v>0</v>
      </c>
      <c r="I306" t="s">
        <v>1448</v>
      </c>
      <c r="L306" t="str" cm="1">
        <f t="array" ref="L306">_xlfn.XLOOKUP(A306,'Automation Prepping'!$A$2:'Automation Prepping'!$A$315, 'Automation Prepping'!$I$2:'Automation Prepping'!$I$315)</f>
        <v>https://advance-lexis-com.ezproxy.library.tufts.edu/search/?pdmfid=1516831&amp;crid=ceb58b91-3ec9-489b-8135-ba651c40bc8f&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Jenisej+OR+Yenisey+OR+Angara+OR+Bakhta+OR+Bol+Kheta+OR+Braskove+Vdkhr+OR+Chadobets+OR+Chuna+OR+Egiyn+OR+Hanuy+OR+Ider+OR+Ilim+OR+Irkut+OR+Kan+OR+Kas+OR+Kochechan+OR+Nidym+OR+Nizhnyaya+Tunguska+OR+Oka+OR+Ornon+OR+Oz.+Keta+OR+Oz.+Khantayskoye+OR+Oz.+Pyasino+OR+Oz.+Agaa+OR+Ozero+Baykal+OR+Ozero+Lama+OR+Podkamennaya+Tunguska+OR+Selenge+OR+Sym+OR+Taymura+OR+Tembenchi+OR+Turu+OR+Tutonchana+OR+Uchami+OR+Uda+OR+Vel%27mo+OR+Vivi+OR+Yeloguy+OR+Yenisei)+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oc</v>
      </c>
    </row>
    <row r="307" spans="1:12" ht="16" x14ac:dyDescent="0.2">
      <c r="A307" s="49" t="s">
        <v>835</v>
      </c>
      <c r="B307" s="49" t="s">
        <v>834</v>
      </c>
      <c r="C307" s="63" t="str" cm="1">
        <f t="array" ref="C307">_xlfn.XLOOKUP(A307,'Automation Prepping'!$A$2:'Automation Prepping'!$A$315, 'Automation Prepping'!$D$2:'Automation Prepping'!$D$315)</f>
        <v>Y (15 July 2022)</v>
      </c>
      <c r="D307" t="str" cm="1">
        <f t="array" ref="D307">_xlfn.XLOOKUP(A307,'Automation Prepping'!$A$2:'Automation Prepping'!$A$315, 'Automation Prepping'!$F$2:'Automation Prepping'!$F$315)</f>
        <v>Y</v>
      </c>
      <c r="F307" t="str" cm="1">
        <f t="array" ref="F307">_xlfn.XLOOKUP(A307,'Automation Prepping'!$A$2:'Automation Prepping'!$A$315, 'Automation Prepping'!$H$2:'Automation Prepping'!$H$315)</f>
        <v>Y</v>
      </c>
      <c r="L307" t="str" cm="1">
        <f t="array" ref="L307">_xlfn.XLOOKUP(A307,'Automation Prepping'!$A$2:'Automation Prepping'!$A$315, 'Automation Prepping'!$I$2:'Automation Prepping'!$I$315)</f>
        <v>https://advance-lexis-com.ezproxy.library.tufts.edu/search/?pdmfid=1516831&amp;crid=6a6eac6a-64d3-4b44-b9aa-27bd05b1dd8a&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Yser)+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308" spans="1:12" ht="16" x14ac:dyDescent="0.2">
      <c r="A308" s="49" t="s">
        <v>838</v>
      </c>
      <c r="B308" s="49" t="s">
        <v>839</v>
      </c>
      <c r="C308" s="63" t="str" cm="1">
        <f t="array" ref="C308">_xlfn.XLOOKUP(A308,'Automation Prepping'!$A$2:'Automation Prepping'!$A$315, 'Automation Prepping'!$D$2:'Automation Prepping'!$D$315)</f>
        <v>N</v>
      </c>
      <c r="D308" t="str" cm="1">
        <f t="array" ref="D308">_xlfn.XLOOKUP(A308,'Automation Prepping'!$A$2:'Automation Prepping'!$A$315, 'Automation Prepping'!$F$2:'Automation Prepping'!$F$315)</f>
        <v>In Progress</v>
      </c>
      <c r="F308" cm="1">
        <f t="array" ref="F308">_xlfn.XLOOKUP(A308,'Automation Prepping'!$A$2:'Automation Prepping'!$A$315, 'Automation Prepping'!$H$2:'Automation Prepping'!$H$315)</f>
        <v>0</v>
      </c>
      <c r="L308" t="str" cm="1">
        <f t="array" ref="L308">_xlfn.XLOOKUP(A308,'Automation Prepping'!$A$2:'Automation Prepping'!$A$315, 'Automation Prepping'!$I$2:'Automation Prepping'!$I$315)</f>
        <v xml:space="preserve">*Too big, search not running </v>
      </c>
    </row>
    <row r="309" spans="1:12" ht="16" x14ac:dyDescent="0.2">
      <c r="A309" s="49" t="s">
        <v>841</v>
      </c>
      <c r="B309" s="49" t="s">
        <v>842</v>
      </c>
      <c r="C309" s="63" t="str" cm="1">
        <f t="array" ref="C309">_xlfn.XLOOKUP(A309,'Automation Prepping'!$A$2:'Automation Prepping'!$A$315, 'Automation Prepping'!$D$2:'Automation Prepping'!$D$315)</f>
        <v>N</v>
      </c>
      <c r="D309" t="str" cm="1">
        <f t="array" ref="D309">_xlfn.XLOOKUP(A309,'Automation Prepping'!$A$2:'Automation Prepping'!$A$315, 'Automation Prepping'!$F$2:'Automation Prepping'!$F$315)</f>
        <v>Y</v>
      </c>
      <c r="F309" t="str" cm="1">
        <f t="array" ref="F309">_xlfn.XLOOKUP(A309,'Automation Prepping'!$A$2:'Automation Prepping'!$A$315, 'Automation Prepping'!$H$2:'Automation Prepping'!$H$315)</f>
        <v>Y</v>
      </c>
      <c r="I309" t="s">
        <v>1450</v>
      </c>
      <c r="L309" t="str" cm="1">
        <f t="array" ref="L309">_xlfn.XLOOKUP(A309,'Automation Prepping'!$A$2:'Automation Prepping'!$A$315, 'Automation Prepping'!$I$2:'Automation Prepping'!$I$315)</f>
        <v>https://advance-lexis-com.ezproxy.library.tufts.edu/search/?pdmfid=1516831&amp;crid=4bb3a5f2-1a6c-4e08-9908-0ad11bd100ee&amp;pdpsf=&amp;pdpost=&amp;pdstartin=urn%3Ahlct%3A16&amp;oc</v>
      </c>
    </row>
    <row r="310" spans="1:12" ht="16" x14ac:dyDescent="0.2">
      <c r="A310" s="49" t="s">
        <v>844</v>
      </c>
      <c r="B310" s="49" t="s">
        <v>843</v>
      </c>
      <c r="C310" s="63" t="str" cm="1">
        <f t="array" ref="C310">_xlfn.XLOOKUP(A310,'Automation Prepping'!$A$2:'Automation Prepping'!$A$315, 'Automation Prepping'!$D$2:'Automation Prepping'!$D$315)</f>
        <v>N</v>
      </c>
      <c r="D310" t="str" cm="1">
        <f t="array" ref="D310">_xlfn.XLOOKUP(A310,'Automation Prepping'!$A$2:'Automation Prepping'!$A$315, 'Automation Prepping'!$F$2:'Automation Prepping'!$F$315)</f>
        <v>Need Add to 2024</v>
      </c>
      <c r="F310" cm="1">
        <f t="array" ref="F310">_xlfn.XLOOKUP(A310,'Automation Prepping'!$A$2:'Automation Prepping'!$A$315, 'Automation Prepping'!$H$2:'Automation Prepping'!$H$315)</f>
        <v>0</v>
      </c>
      <c r="L310" t="str" cm="1">
        <f t="array" ref="L310">_xlfn.XLOOKUP(A310,'Automation Prepping'!$A$2:'Automation Prepping'!$A$315, 'Automation Prepping'!$I$2:'Automation Prepping'!$I$315)</f>
        <v>No Results</v>
      </c>
    </row>
    <row r="311" spans="1:12" ht="16" x14ac:dyDescent="0.2">
      <c r="A311" s="49" t="s">
        <v>846</v>
      </c>
      <c r="B311" s="49" t="s">
        <v>845</v>
      </c>
      <c r="C311" s="63" t="str" cm="1">
        <f t="array" ref="C311">_xlfn.XLOOKUP(A311,'Automation Prepping'!$A$2:'Automation Prepping'!$A$315, 'Automation Prepping'!$D$2:'Automation Prepping'!$D$315)</f>
        <v>Y (15 July 2022)</v>
      </c>
      <c r="D311" t="str" cm="1">
        <f t="array" ref="D311">_xlfn.XLOOKUP(A311,'Automation Prepping'!$A$2:'Automation Prepping'!$A$315, 'Automation Prepping'!$F$2:'Automation Prepping'!$F$315)</f>
        <v>Y</v>
      </c>
      <c r="F311" t="str" cm="1">
        <f t="array" ref="F311">_xlfn.XLOOKUP(A311,'Automation Prepping'!$A$2:'Automation Prepping'!$A$315, 'Automation Prepping'!$H$2:'Automation Prepping'!$H$315)</f>
        <v>Y</v>
      </c>
      <c r="L311" t="str" cm="1">
        <f t="array" ref="L311">_xlfn.XLOOKUP(A311,'Automation Prepping'!$A$2:'Automation Prepping'!$A$315, 'Automation Prepping'!$I$2:'Automation Prepping'!$I$315)</f>
        <v>https://advance-lexis-com.ezproxy.library.tufts.edu/search/?pdmfid=1516831&amp;crid=89e63879-dd65-4906-a2ab-444f9fdc9602&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Zarumill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22water+resistant%22+OR+%22water+bath%22+)&amp;pdsearchtype=SearchBox&amp;pdtypeofsearch=searchboxclick&amp;pdsf=&amp;pdquerytemplateid=&amp;pdtimeline=undefined%7Calldates&amp;pdfromadvancedsearchpage=true&amp;ecomp=xxLg9kk&amp;earg=pdpsf&amp;prid=bc0e868b-fb1c-41f3-a6eb-20a0e2464bb3</v>
      </c>
    </row>
    <row r="312" spans="1:12" ht="16" x14ac:dyDescent="0.2">
      <c r="A312" s="49" t="s">
        <v>848</v>
      </c>
      <c r="B312" s="49" t="s">
        <v>847</v>
      </c>
      <c r="C312" s="63" t="str" cm="1">
        <f t="array" ref="C312">_xlfn.XLOOKUP(A312,'Automation Prepping'!$A$2:'Automation Prepping'!$A$315, 'Automation Prepping'!$D$2:'Automation Prepping'!$D$315)</f>
        <v>N</v>
      </c>
      <c r="D312" t="str" cm="1">
        <f t="array" ref="D312">_xlfn.XLOOKUP(A312,'Automation Prepping'!$A$2:'Automation Prepping'!$A$315, 'Automation Prepping'!$F$2:'Automation Prepping'!$F$315)</f>
        <v>Need Add to 2024</v>
      </c>
      <c r="F312" cm="1">
        <f t="array" ref="F312">_xlfn.XLOOKUP(A312,'Automation Prepping'!$A$2:'Automation Prepping'!$A$315, 'Automation Prepping'!$H$2:'Automation Prepping'!$H$315)</f>
        <v>0</v>
      </c>
      <c r="L312" t="str" cm="1">
        <f t="array" ref="L312">_xlfn.XLOOKUP(A312,'Automation Prepping'!$A$2:'Automation Prepping'!$A$315, 'Automation Prepping'!$I$2:'Automation Prepping'!$I$315)</f>
        <v xml:space="preserve">0 Results: https://advance-lexis-com.ezproxy.library.tufts.edu/search/?pdmfid=1516831&amp;crid=af80113f-99cf-4ada-8223-8709ef047d20&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Allahein)+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9d3b9986-b7af-4043-9803-d5b256c85f95  </v>
      </c>
    </row>
    <row r="313" spans="1:12" ht="16" x14ac:dyDescent="0.2">
      <c r="A313" s="49" t="s">
        <v>850</v>
      </c>
      <c r="B313" s="49" t="s">
        <v>851</v>
      </c>
      <c r="C313" s="63" t="str" cm="1">
        <f t="array" ref="C313">_xlfn.XLOOKUP(A313,'Automation Prepping'!$A$2:'Automation Prepping'!$A$315, 'Automation Prepping'!$D$2:'Automation Prepping'!$D$315)</f>
        <v>N</v>
      </c>
      <c r="D313" t="str" cm="1">
        <f t="array" ref="D313">_xlfn.XLOOKUP(A313,'Automation Prepping'!$A$2:'Automation Prepping'!$A$315, 'Automation Prepping'!$F$2:'Automation Prepping'!$F$315)</f>
        <v>Need Add to 2024</v>
      </c>
      <c r="F313" cm="1">
        <f t="array" ref="F313">_xlfn.XLOOKUP(A313,'Automation Prepping'!$A$2:'Automation Prepping'!$A$315, 'Automation Prepping'!$H$2:'Automation Prepping'!$H$315)</f>
        <v>0</v>
      </c>
      <c r="I313" t="s">
        <v>1448</v>
      </c>
      <c r="L313" t="str" cm="1">
        <f t="array" ref="L313">_xlfn.XLOOKUP(A313,'Automation Prepping'!$A$2:'Automation Prepping'!$A$315, 'Automation Prepping'!$I$2:'Automation Prepping'!$I$315)</f>
        <v>https://advance-lexis-com.ezproxy.library.tufts.edu/search/?pdmfid=1516831&amp;crid=b410f756-f4b2-4e04-8fc5-9b4963a70546&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Ems+OR+Eems+OR+Westerwoldse+Aa+OR+Dollart+OR+Dollard+OR+Werse+OR+Munstersche+Aa+OR+Hunze+OR+Drentsche+Aa)+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water+resistant”+OR+“water+bath”+)&amp;pdsearchtype=SearchBox&amp;pdtypeofsearch=searchboxclick&amp;pdsf=&amp;pdquerytemplateid=&amp;pdtimeline=undefined%7Calldates&amp;pdfromadvancedsearchpage=true&amp;ecomp=qxLg9kk&amp;earg=pdpsf&amp;prid=957e6eea-1dfb-4eff-b3a6-3d2c7c77fbac</v>
      </c>
    </row>
    <row r="314" spans="1:12" ht="16" x14ac:dyDescent="0.2">
      <c r="A314" s="49" t="s">
        <v>853</v>
      </c>
      <c r="B314" s="49" t="s">
        <v>854</v>
      </c>
      <c r="C314" s="63" t="str" cm="1">
        <f t="array" ref="C314">_xlfn.XLOOKUP(A314,'Automation Prepping'!$A$2:'Automation Prepping'!$A$315, 'Automation Prepping'!$D$2:'Automation Prepping'!$D$315)</f>
        <v>N</v>
      </c>
      <c r="D314" t="str" cm="1">
        <f t="array" ref="D314">_xlfn.XLOOKUP(A314,'Automation Prepping'!$A$2:'Automation Prepping'!$A$315, 'Automation Prepping'!$F$2:'Automation Prepping'!$F$315)</f>
        <v>Y</v>
      </c>
      <c r="F314" cm="1">
        <f t="array" ref="F314">_xlfn.XLOOKUP(A314,'Automation Prepping'!$A$2:'Automation Prepping'!$A$315, 'Automation Prepping'!$H$2:'Automation Prepping'!$H$315)</f>
        <v>0</v>
      </c>
      <c r="I314" t="s">
        <v>1448</v>
      </c>
      <c r="L314" t="str" cm="1">
        <f t="array" ref="L314">_xlfn.XLOOKUP(A314,'Automation Prepping'!$A$2:'Automation Prepping'!$A$315, 'Automation Prepping'!$I$2:'Automation Prepping'!$I$315)</f>
        <v>https://advance.lexis.com/search/?pdmfid=1516831&amp;crid=6f6aff15-79ce-4402-9375-39eef31ab538&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Loa+OR+Silala+OR+Siloli+OR+Inacaliri+OR+Cajon+OR+San+Pedro+OR+Salado+OR+Toconce+)+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undefined%7Calldates&amp;pdfromadvancedsearchpage=true&amp;ecomp=qxLg9kk&amp;earg=pdpsf&amp;prid=6e023950-120a-422c-8dc8-29fc1cb15df8</v>
      </c>
    </row>
    <row r="315" spans="1:12" ht="16" x14ac:dyDescent="0.2">
      <c r="A315" s="50" t="s">
        <v>858</v>
      </c>
      <c r="B315" s="50" t="s">
        <v>859</v>
      </c>
      <c r="C315" s="63" t="str" cm="1">
        <f t="array" ref="C315">_xlfn.XLOOKUP(A315,'Automation Prepping'!$A$2:'Automation Prepping'!$A$315, 'Automation Prepping'!$D$2:'Automation Prepping'!$D$315)</f>
        <v>N</v>
      </c>
      <c r="D315" t="str" cm="1">
        <f t="array" ref="D315">_xlfn.XLOOKUP(A315,'Automation Prepping'!$A$2:'Automation Prepping'!$A$315, 'Automation Prepping'!$F$2:'Automation Prepping'!$F$315)</f>
        <v>In Progress</v>
      </c>
      <c r="F315" cm="1">
        <f t="array" ref="F315">_xlfn.XLOOKUP(A315,'Automation Prepping'!$A$2:'Automation Prepping'!$A$315, 'Automation Prepping'!$H$2:'Automation Prepping'!$H$315)</f>
        <v>0</v>
      </c>
      <c r="L315" t="str" cm="1">
        <f t="array" ref="L315">_xlfn.XLOOKUP(A315,'Automation Prepping'!$A$2:'Automation Prepping'!$A$315, 'Automation Prepping'!$I$2:'Automation Prepping'!$I$315)</f>
        <v>https://advance-lexis-com.ezproxy.library.tufts.edu/search/?pdmfid=1516831&amp;crid=b08cd61a-5aff-41bc-be32-bf72221ce634&amp;pdpsf=&amp;pdpost=&amp;pdstartin=urn%3Ahlct%3A16&amp;pdsearchterms=hlead(*water*+OR+river*+OR+lake+OR+dam+OR+stream+OR+tributary+OR+diversion+OR+irrigation+OR+pollution+OR+water+quality+OR+flood!+OR+drought!+OR+channel+OR+canal+OR+hydroelect!+OR+reservoir+OR+groundwater+OR+aquifer+OR+drought+OR+recharge+OR+%22water+table%22+OR+%22bore+hole%22)+and+hlead(treaty+OR+agree!+OR+negotiat!+OR+resolution+OR+commission+OR+secretariat+OR+joint+management+OR+basin+management+OR+peace+OR+accord+OR+%22peace+accord%22+OR+settle!+OR+cooperat!+OR+collaborat!+OR+disput!+OR+conflict!+OR+disagree!+OR+sanction!+OR+war+OR+troops+OR+%22letter+of+protest%22+OR+hostility+OR+%22shots+fired%22+OR+boycott+OR+protest!+OR+appeal+OR+intent+OR+reject+OR+threat!+OR+force+OR+coerce+OR+assault+OR+fight+OR+demand+OR+disapprove+OR+diploma!+OR+statement+OR+memorandum)+and+hlead(groundwater*+OR+aquifer*+OR+%22ground+water*%22+)+and+not+hlead(ocean+OR+navigat!+OR+nuclear+OR+%22water+cannon%22+OR+%22light+water+reactor%22+OR+%22mineral+water%22+OR+%22hold+water%22+OR+%22cold+water%22+OR+%22hot+water%22+OR+%22water+canister%22+OR+%22water+tight%22+OR+%22+water+down%22+OR+%22flood+of+refugees%22+OR+Rivera+OR+Suez+OR+Panama+OR+oil+OR+drugs+OR+%22three+gorges%22+OR+waterski+OR+watermelon+OR+dishwater+OR+waterproof+OR+%E2%80%9Cwater+resistant%E2%80%9D+OR+%E2%80%9Cwater+bath%E2%80%9D)&amp;pdsearchtype=SearchBox&amp;pdtypeofsearch=searchboxclick&amp;pdsf=&amp;pdquerytemplateid=&amp;pdtimeline=06%2F30%2F2008to07%2F01%2F2023%7Cdatebetween&amp;pdfromadvancedsearchpage=true&amp;ecomp=qxLg9kk&amp;earg=pdpsf&amp;prid=2e92158f-e9cc-488b-8cf2-fe4574f08300</v>
      </c>
    </row>
    <row r="316" spans="1:12" x14ac:dyDescent="0.2">
      <c r="A316" s="42"/>
      <c r="B316" s="42"/>
      <c r="C316" s="4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Z1000"/>
  <sheetViews>
    <sheetView topLeftCell="C8" zoomScale="80" zoomScaleNormal="80" workbookViewId="0">
      <selection activeCell="D315" sqref="D315"/>
    </sheetView>
  </sheetViews>
  <sheetFormatPr baseColWidth="10" defaultColWidth="14.5" defaultRowHeight="15" customHeight="1" x14ac:dyDescent="0.2"/>
  <cols>
    <col min="1" max="2" width="18" customWidth="1"/>
    <col min="3" max="3" width="40.5" customWidth="1"/>
    <col min="4" max="4" width="108.5" style="37" customWidth="1"/>
    <col min="5" max="5" width="17.6640625" customWidth="1"/>
    <col min="6" max="6" width="14.6640625" customWidth="1"/>
    <col min="7" max="7" width="24.6640625" customWidth="1"/>
    <col min="8" max="8" width="20" customWidth="1"/>
    <col min="9" max="9" width="19.5" customWidth="1"/>
    <col min="10" max="10" width="27.6640625" customWidth="1"/>
    <col min="11" max="26" width="8.6640625" customWidth="1"/>
  </cols>
  <sheetData>
    <row r="1" spans="1:26" ht="14.25" customHeight="1" x14ac:dyDescent="0.2">
      <c r="A1" s="65" t="s">
        <v>1452</v>
      </c>
      <c r="B1" s="66"/>
      <c r="C1" s="66"/>
      <c r="D1" s="67"/>
      <c r="E1" s="1"/>
      <c r="F1" s="1"/>
      <c r="G1" s="1"/>
      <c r="H1" s="1"/>
      <c r="I1" s="1"/>
      <c r="J1" s="1"/>
      <c r="K1" s="1"/>
      <c r="L1" s="1"/>
      <c r="M1" s="1"/>
      <c r="N1" s="1"/>
      <c r="O1" s="1"/>
      <c r="P1" s="1"/>
      <c r="Q1" s="1"/>
      <c r="R1" s="1"/>
      <c r="S1" s="1"/>
      <c r="T1" s="1"/>
      <c r="U1" s="1"/>
      <c r="V1" s="1"/>
      <c r="W1" s="1"/>
      <c r="X1" s="1"/>
      <c r="Y1" s="1"/>
      <c r="Z1" s="1"/>
    </row>
    <row r="2" spans="1:26" ht="14.25" customHeight="1" x14ac:dyDescent="0.2">
      <c r="A2" s="2" t="s">
        <v>0</v>
      </c>
      <c r="B2" s="2" t="s">
        <v>1</v>
      </c>
      <c r="C2" s="3" t="s">
        <v>2</v>
      </c>
      <c r="D2" s="4" t="s">
        <v>3</v>
      </c>
      <c r="E2" s="1"/>
      <c r="F2" s="1"/>
      <c r="G2" s="1"/>
      <c r="H2" s="1"/>
      <c r="I2" s="1"/>
      <c r="J2" s="1"/>
      <c r="K2" s="1"/>
      <c r="L2" s="1"/>
      <c r="M2" s="1"/>
      <c r="N2" s="1"/>
      <c r="O2" s="1"/>
      <c r="P2" s="1"/>
      <c r="Q2" s="1"/>
      <c r="R2" s="1"/>
      <c r="S2" s="1"/>
      <c r="T2" s="1"/>
      <c r="U2" s="1"/>
      <c r="V2" s="1"/>
      <c r="W2" s="1"/>
      <c r="X2" s="1"/>
      <c r="Y2" s="1"/>
      <c r="Z2" s="1"/>
    </row>
    <row r="3" spans="1:26" ht="51" customHeight="1" x14ac:dyDescent="0.2">
      <c r="A3" s="68" t="s">
        <v>4</v>
      </c>
      <c r="B3" s="5" t="s">
        <v>5</v>
      </c>
      <c r="C3" s="6" t="s">
        <v>6</v>
      </c>
      <c r="D3" s="38" t="s">
        <v>7</v>
      </c>
      <c r="E3" s="1"/>
      <c r="F3" s="1"/>
      <c r="G3" s="1"/>
      <c r="H3" s="1"/>
      <c r="I3" s="1"/>
      <c r="J3" s="1"/>
      <c r="K3" s="1"/>
      <c r="L3" s="1"/>
      <c r="M3" s="1"/>
      <c r="N3" s="1"/>
      <c r="O3" s="1"/>
      <c r="P3" s="1"/>
      <c r="Q3" s="1"/>
      <c r="R3" s="1"/>
      <c r="S3" s="1"/>
      <c r="T3" s="1"/>
      <c r="U3" s="1"/>
      <c r="V3" s="1"/>
      <c r="W3" s="1"/>
      <c r="X3" s="1"/>
      <c r="Y3" s="1"/>
      <c r="Z3" s="1"/>
    </row>
    <row r="4" spans="1:26" ht="85.5" customHeight="1" x14ac:dyDescent="0.2">
      <c r="A4" s="69"/>
      <c r="B4" s="7" t="s">
        <v>8</v>
      </c>
      <c r="C4" s="6" t="s">
        <v>6</v>
      </c>
      <c r="D4" s="39" t="s">
        <v>9</v>
      </c>
      <c r="E4" s="1"/>
      <c r="F4" s="1"/>
      <c r="G4" s="1"/>
      <c r="H4" s="1"/>
      <c r="I4" s="1"/>
      <c r="J4" s="1"/>
      <c r="K4" s="1"/>
      <c r="L4" s="1"/>
      <c r="M4" s="1"/>
      <c r="N4" s="1"/>
      <c r="O4" s="1"/>
      <c r="P4" s="1"/>
      <c r="Q4" s="1"/>
      <c r="R4" s="1"/>
      <c r="S4" s="1"/>
      <c r="T4" s="1"/>
      <c r="U4" s="1"/>
      <c r="V4" s="1"/>
      <c r="W4" s="1"/>
      <c r="X4" s="1"/>
      <c r="Y4" s="1"/>
      <c r="Z4" s="1"/>
    </row>
    <row r="5" spans="1:26" ht="84.75" customHeight="1" x14ac:dyDescent="0.2">
      <c r="A5" s="69"/>
      <c r="B5" s="7" t="s">
        <v>10</v>
      </c>
      <c r="C5" s="6" t="s">
        <v>6</v>
      </c>
      <c r="D5" s="39" t="s">
        <v>11</v>
      </c>
      <c r="E5" s="1"/>
      <c r="F5" s="1"/>
      <c r="G5" s="1"/>
      <c r="H5" s="1"/>
      <c r="I5" s="1"/>
      <c r="J5" s="1"/>
      <c r="K5" s="1"/>
      <c r="L5" s="1"/>
      <c r="M5" s="1"/>
      <c r="N5" s="1"/>
      <c r="O5" s="1"/>
      <c r="P5" s="1"/>
      <c r="Q5" s="1"/>
      <c r="R5" s="1"/>
      <c r="S5" s="1"/>
      <c r="T5" s="1"/>
      <c r="U5" s="1"/>
      <c r="V5" s="1"/>
      <c r="W5" s="1"/>
      <c r="X5" s="1"/>
      <c r="Y5" s="1"/>
      <c r="Z5" s="1"/>
    </row>
    <row r="6" spans="1:26" ht="14.25" customHeight="1" x14ac:dyDescent="0.2">
      <c r="A6" s="69"/>
      <c r="B6" s="7" t="s">
        <v>12</v>
      </c>
      <c r="C6" s="6" t="s">
        <v>13</v>
      </c>
      <c r="D6" s="6" t="s">
        <v>1453</v>
      </c>
      <c r="E6" s="1"/>
      <c r="F6" s="1"/>
      <c r="G6" s="1"/>
      <c r="H6" s="1"/>
      <c r="I6" s="1"/>
      <c r="J6" s="1"/>
      <c r="K6" s="1"/>
      <c r="L6" s="1"/>
      <c r="M6" s="1"/>
      <c r="N6" s="1"/>
      <c r="O6" s="1"/>
      <c r="P6" s="1"/>
      <c r="Q6" s="1"/>
      <c r="R6" s="1"/>
      <c r="S6" s="1"/>
      <c r="T6" s="1"/>
      <c r="U6" s="1"/>
      <c r="V6" s="1"/>
      <c r="W6" s="1"/>
      <c r="X6" s="1"/>
      <c r="Y6" s="1"/>
      <c r="Z6" s="1"/>
    </row>
    <row r="7" spans="1:26" ht="14.25" customHeight="1" x14ac:dyDescent="0.2">
      <c r="A7" s="69"/>
      <c r="B7" s="29" t="s">
        <v>14</v>
      </c>
      <c r="C7" s="8"/>
      <c r="D7" s="8" t="s">
        <v>15</v>
      </c>
      <c r="E7" s="1"/>
      <c r="F7" s="1"/>
      <c r="G7" s="1"/>
      <c r="H7" s="1"/>
      <c r="I7" s="1"/>
      <c r="J7" s="1"/>
      <c r="K7" s="1"/>
      <c r="L7" s="1"/>
      <c r="M7" s="1"/>
      <c r="N7" s="1"/>
      <c r="O7" s="1"/>
      <c r="P7" s="1"/>
      <c r="Q7" s="1"/>
      <c r="R7" s="1"/>
      <c r="S7" s="1"/>
      <c r="T7" s="1"/>
      <c r="U7" s="1"/>
      <c r="V7" s="1"/>
      <c r="W7" s="1"/>
      <c r="X7" s="1"/>
      <c r="Y7" s="1"/>
      <c r="Z7" s="1"/>
    </row>
    <row r="8" spans="1:26" ht="29.25" customHeight="1" x14ac:dyDescent="0.2">
      <c r="A8" s="70"/>
      <c r="B8" s="9" t="s">
        <v>16</v>
      </c>
      <c r="C8" s="10"/>
      <c r="D8" s="10" t="s">
        <v>17</v>
      </c>
      <c r="E8" s="11"/>
      <c r="F8" s="11"/>
      <c r="G8" s="1"/>
      <c r="H8" s="1"/>
      <c r="I8" s="1"/>
      <c r="J8" s="1"/>
      <c r="K8" s="1"/>
      <c r="L8" s="1"/>
      <c r="M8" s="1"/>
      <c r="N8" s="1"/>
      <c r="O8" s="1"/>
      <c r="P8" s="1"/>
      <c r="Q8" s="1"/>
      <c r="R8" s="1"/>
      <c r="S8" s="1"/>
      <c r="T8" s="1"/>
      <c r="U8" s="1"/>
      <c r="V8" s="1"/>
      <c r="W8" s="1"/>
      <c r="X8" s="1"/>
      <c r="Y8" s="1"/>
      <c r="Z8" s="1"/>
    </row>
    <row r="9" spans="1:26" ht="31.5" customHeight="1" x14ac:dyDescent="0.2">
      <c r="A9" s="62"/>
      <c r="B9" s="29" t="s">
        <v>19</v>
      </c>
      <c r="C9" s="30" t="s">
        <v>20</v>
      </c>
      <c r="D9" s="30" t="s">
        <v>1454</v>
      </c>
      <c r="E9" s="65" t="s">
        <v>21</v>
      </c>
      <c r="F9" s="71"/>
      <c r="G9" s="65" t="s">
        <v>22</v>
      </c>
      <c r="H9" s="66"/>
      <c r="I9" s="66"/>
      <c r="J9" s="71"/>
      <c r="K9" s="1"/>
      <c r="L9" s="1"/>
      <c r="M9" s="1"/>
      <c r="N9" s="1"/>
      <c r="O9" s="1"/>
      <c r="P9" s="1"/>
      <c r="Q9" s="1"/>
      <c r="R9" s="1"/>
      <c r="S9" s="1"/>
      <c r="T9" s="1"/>
      <c r="U9" s="1"/>
      <c r="V9" s="1"/>
      <c r="W9" s="1"/>
      <c r="X9" s="1"/>
      <c r="Y9" s="1"/>
      <c r="Z9" s="1"/>
    </row>
    <row r="10" spans="1:26" ht="64" x14ac:dyDescent="0.2">
      <c r="A10" s="31" t="s">
        <v>18</v>
      </c>
      <c r="B10" s="12" t="s">
        <v>23</v>
      </c>
      <c r="C10" s="13" t="s">
        <v>1455</v>
      </c>
      <c r="D10" s="13" t="s">
        <v>1456</v>
      </c>
      <c r="E10" s="2" t="s">
        <v>25</v>
      </c>
      <c r="F10" s="2" t="s">
        <v>26</v>
      </c>
      <c r="G10" s="2" t="s">
        <v>27</v>
      </c>
      <c r="H10" s="14" t="s">
        <v>1457</v>
      </c>
      <c r="I10" s="14" t="s">
        <v>1458</v>
      </c>
      <c r="J10" s="14" t="s">
        <v>32</v>
      </c>
      <c r="K10" s="1">
        <f>COUNTIF(H11:H325,"Y")</f>
        <v>185</v>
      </c>
      <c r="L10" s="1"/>
      <c r="M10" s="1"/>
      <c r="N10" s="1"/>
      <c r="O10" s="1"/>
      <c r="P10" s="1"/>
      <c r="Q10" s="1"/>
      <c r="R10" s="1"/>
      <c r="S10" s="1"/>
      <c r="T10" s="1"/>
      <c r="U10" s="1"/>
      <c r="V10" s="1"/>
      <c r="W10" s="1"/>
      <c r="X10" s="1"/>
      <c r="Y10" s="1"/>
      <c r="Z10" s="1"/>
    </row>
    <row r="11" spans="1:26" ht="14.25" hidden="1" customHeight="1" x14ac:dyDescent="0.2">
      <c r="A11" s="76"/>
      <c r="B11" s="32">
        <v>1</v>
      </c>
      <c r="C11" s="15" t="s">
        <v>1455</v>
      </c>
      <c r="D11" s="15" t="s">
        <v>33</v>
      </c>
      <c r="E11" s="15" t="s">
        <v>34</v>
      </c>
      <c r="F11" s="15" t="s">
        <v>33</v>
      </c>
      <c r="G11" s="16" t="s">
        <v>35</v>
      </c>
      <c r="H11" s="16" t="s">
        <v>37</v>
      </c>
      <c r="I11" s="15" t="s">
        <v>37</v>
      </c>
      <c r="J11" s="15"/>
      <c r="K11" s="1"/>
      <c r="L11" s="1"/>
      <c r="M11" s="1"/>
      <c r="N11" s="1"/>
      <c r="O11" s="1"/>
      <c r="P11" s="1"/>
      <c r="Q11" s="1"/>
      <c r="R11" s="1"/>
      <c r="S11" s="1"/>
      <c r="T11" s="1"/>
      <c r="U11" s="1"/>
      <c r="V11" s="1"/>
      <c r="W11" s="1"/>
      <c r="X11" s="1"/>
      <c r="Y11" s="1"/>
      <c r="Z11" s="1"/>
    </row>
    <row r="12" spans="1:26" ht="14.25" hidden="1" customHeight="1" x14ac:dyDescent="0.2">
      <c r="A12" s="69"/>
      <c r="B12" s="17">
        <v>2</v>
      </c>
      <c r="C12" s="6" t="s">
        <v>1455</v>
      </c>
      <c r="D12" s="6" t="s">
        <v>38</v>
      </c>
      <c r="E12" s="15" t="s">
        <v>39</v>
      </c>
      <c r="F12" s="15" t="s">
        <v>38</v>
      </c>
      <c r="G12" s="16" t="s">
        <v>35</v>
      </c>
      <c r="H12" s="16" t="s">
        <v>37</v>
      </c>
      <c r="I12" s="15" t="s">
        <v>37</v>
      </c>
      <c r="J12" s="15"/>
      <c r="K12" s="1"/>
      <c r="L12" s="1"/>
      <c r="M12" s="1"/>
      <c r="N12" s="1"/>
      <c r="O12" s="1"/>
      <c r="P12" s="1"/>
      <c r="Q12" s="1"/>
      <c r="R12" s="1"/>
      <c r="S12" s="1"/>
      <c r="T12" s="1"/>
      <c r="U12" s="1"/>
      <c r="V12" s="1"/>
      <c r="W12" s="1"/>
      <c r="X12" s="1"/>
      <c r="Y12" s="1"/>
      <c r="Z12" s="1"/>
    </row>
    <row r="13" spans="1:26" ht="14.25" hidden="1" customHeight="1" x14ac:dyDescent="0.2">
      <c r="A13" s="69"/>
      <c r="B13" s="17">
        <v>3</v>
      </c>
      <c r="C13" s="6" t="s">
        <v>1455</v>
      </c>
      <c r="D13" s="6" t="s">
        <v>41</v>
      </c>
      <c r="E13" s="15" t="s">
        <v>42</v>
      </c>
      <c r="F13" s="15" t="s">
        <v>41</v>
      </c>
      <c r="G13" s="16" t="s">
        <v>35</v>
      </c>
      <c r="H13" s="16" t="s">
        <v>37</v>
      </c>
      <c r="I13" s="15" t="s">
        <v>37</v>
      </c>
      <c r="J13" s="15"/>
      <c r="K13" s="1"/>
      <c r="L13" s="1"/>
      <c r="M13" s="1"/>
      <c r="N13" s="1"/>
      <c r="O13" s="1"/>
      <c r="P13" s="1"/>
      <c r="Q13" s="1"/>
      <c r="R13" s="1"/>
      <c r="S13" s="1"/>
      <c r="T13" s="1"/>
      <c r="U13" s="1"/>
      <c r="V13" s="1"/>
      <c r="W13" s="1"/>
      <c r="X13" s="1"/>
      <c r="Y13" s="1"/>
      <c r="Z13" s="1"/>
    </row>
    <row r="14" spans="1:26" ht="14.25" hidden="1" customHeight="1" x14ac:dyDescent="0.2">
      <c r="A14" s="69"/>
      <c r="B14" s="17">
        <v>4</v>
      </c>
      <c r="C14" s="6" t="s">
        <v>1455</v>
      </c>
      <c r="D14" s="6" t="s">
        <v>43</v>
      </c>
      <c r="E14" s="15" t="s">
        <v>44</v>
      </c>
      <c r="F14" s="15" t="s">
        <v>45</v>
      </c>
      <c r="G14" s="16" t="s">
        <v>35</v>
      </c>
      <c r="H14" s="16" t="s">
        <v>37</v>
      </c>
      <c r="I14" s="15" t="s">
        <v>37</v>
      </c>
      <c r="J14" s="15"/>
      <c r="K14" s="1"/>
      <c r="L14" s="1"/>
      <c r="M14" s="1"/>
      <c r="N14" s="1"/>
      <c r="O14" s="1"/>
      <c r="P14" s="1"/>
      <c r="Q14" s="1"/>
      <c r="R14" s="1"/>
      <c r="S14" s="1"/>
      <c r="T14" s="1"/>
      <c r="U14" s="1"/>
      <c r="V14" s="1"/>
      <c r="W14" s="1"/>
      <c r="X14" s="1"/>
      <c r="Y14" s="1"/>
      <c r="Z14" s="1"/>
    </row>
    <row r="15" spans="1:26" ht="14.25" hidden="1" customHeight="1" x14ac:dyDescent="0.2">
      <c r="A15" s="69"/>
      <c r="B15" s="17">
        <v>5</v>
      </c>
      <c r="C15" s="6" t="s">
        <v>1455</v>
      </c>
      <c r="D15" s="6" t="s">
        <v>46</v>
      </c>
      <c r="E15" s="15" t="s">
        <v>47</v>
      </c>
      <c r="F15" s="15" t="s">
        <v>46</v>
      </c>
      <c r="G15" s="16" t="s">
        <v>35</v>
      </c>
      <c r="H15" s="16" t="s">
        <v>37</v>
      </c>
      <c r="I15" s="15" t="s">
        <v>37</v>
      </c>
      <c r="J15" s="15"/>
      <c r="K15" s="1"/>
      <c r="L15" s="1"/>
      <c r="M15" s="1"/>
      <c r="N15" s="1"/>
      <c r="O15" s="1"/>
      <c r="P15" s="1"/>
      <c r="Q15" s="1"/>
      <c r="R15" s="1"/>
      <c r="S15" s="1"/>
      <c r="T15" s="1"/>
      <c r="U15" s="1"/>
      <c r="V15" s="1"/>
      <c r="W15" s="1"/>
      <c r="X15" s="1"/>
      <c r="Y15" s="1"/>
      <c r="Z15" s="1"/>
    </row>
    <row r="16" spans="1:26" ht="14.25" hidden="1" customHeight="1" x14ac:dyDescent="0.2">
      <c r="A16" s="69"/>
      <c r="B16" s="17">
        <v>6</v>
      </c>
      <c r="C16" s="6" t="s">
        <v>1455</v>
      </c>
      <c r="D16" s="18" t="s">
        <v>48</v>
      </c>
      <c r="E16" s="15" t="s">
        <v>49</v>
      </c>
      <c r="F16" s="15" t="s">
        <v>50</v>
      </c>
      <c r="G16" s="16" t="s">
        <v>35</v>
      </c>
      <c r="H16" s="16" t="s">
        <v>51</v>
      </c>
      <c r="I16" s="15" t="s">
        <v>51</v>
      </c>
      <c r="J16" s="15" t="s">
        <v>53</v>
      </c>
      <c r="K16" s="1"/>
      <c r="L16" s="1"/>
      <c r="M16" s="1"/>
      <c r="N16" s="1"/>
      <c r="O16" s="1"/>
      <c r="P16" s="1"/>
      <c r="Q16" s="1"/>
      <c r="R16" s="1"/>
      <c r="S16" s="1"/>
      <c r="T16" s="1"/>
      <c r="U16" s="1"/>
      <c r="V16" s="1"/>
      <c r="W16" s="1"/>
      <c r="X16" s="1"/>
      <c r="Y16" s="1"/>
      <c r="Z16" s="1"/>
    </row>
    <row r="17" spans="1:26" ht="14.25" hidden="1" customHeight="1" x14ac:dyDescent="0.2">
      <c r="A17" s="69"/>
      <c r="B17" s="17">
        <v>7</v>
      </c>
      <c r="C17" s="6" t="s">
        <v>1455</v>
      </c>
      <c r="D17" s="18" t="s">
        <v>54</v>
      </c>
      <c r="E17" s="15" t="s">
        <v>55</v>
      </c>
      <c r="F17" s="15" t="s">
        <v>56</v>
      </c>
      <c r="G17" s="16" t="s">
        <v>57</v>
      </c>
      <c r="H17" s="16" t="s">
        <v>51</v>
      </c>
      <c r="I17" s="15" t="s">
        <v>51</v>
      </c>
      <c r="J17" s="15" t="s">
        <v>53</v>
      </c>
      <c r="K17" s="1"/>
      <c r="L17" s="1"/>
      <c r="M17" s="1"/>
      <c r="N17" s="1"/>
      <c r="O17" s="1"/>
      <c r="P17" s="1"/>
      <c r="Q17" s="1"/>
      <c r="R17" s="1"/>
      <c r="S17" s="1"/>
      <c r="T17" s="1"/>
      <c r="U17" s="1"/>
      <c r="V17" s="1"/>
      <c r="W17" s="1"/>
      <c r="X17" s="1"/>
      <c r="Y17" s="1"/>
      <c r="Z17" s="1"/>
    </row>
    <row r="18" spans="1:26" ht="14.25" hidden="1" customHeight="1" x14ac:dyDescent="0.2">
      <c r="A18" s="69"/>
      <c r="B18" s="17">
        <v>8</v>
      </c>
      <c r="C18" s="6" t="s">
        <v>1455</v>
      </c>
      <c r="D18" s="6" t="s">
        <v>58</v>
      </c>
      <c r="E18" s="15" t="s">
        <v>59</v>
      </c>
      <c r="F18" s="15" t="s">
        <v>60</v>
      </c>
      <c r="G18" s="16" t="s">
        <v>35</v>
      </c>
      <c r="H18" s="16" t="s">
        <v>37</v>
      </c>
      <c r="I18" s="15" t="s">
        <v>37</v>
      </c>
      <c r="J18" s="15"/>
      <c r="K18" s="1"/>
      <c r="L18" s="1"/>
      <c r="M18" s="1"/>
      <c r="N18" s="1"/>
      <c r="O18" s="1"/>
      <c r="P18" s="1"/>
      <c r="Q18" s="1"/>
      <c r="R18" s="1"/>
      <c r="S18" s="1"/>
      <c r="T18" s="1"/>
      <c r="U18" s="1"/>
      <c r="V18" s="1"/>
      <c r="W18" s="1"/>
      <c r="X18" s="1"/>
      <c r="Y18" s="1"/>
      <c r="Z18" s="1"/>
    </row>
    <row r="19" spans="1:26" ht="14.25" hidden="1" customHeight="1" x14ac:dyDescent="0.2">
      <c r="A19" s="69"/>
      <c r="B19" s="17">
        <v>9</v>
      </c>
      <c r="C19" s="6" t="s">
        <v>1455</v>
      </c>
      <c r="D19" s="6" t="s">
        <v>61</v>
      </c>
      <c r="E19" s="15" t="s">
        <v>62</v>
      </c>
      <c r="F19" s="15" t="s">
        <v>61</v>
      </c>
      <c r="G19" s="16" t="s">
        <v>35</v>
      </c>
      <c r="H19" s="16" t="s">
        <v>37</v>
      </c>
      <c r="I19" s="15" t="s">
        <v>37</v>
      </c>
      <c r="J19" s="15"/>
      <c r="K19" s="1"/>
      <c r="L19" s="1"/>
      <c r="M19" s="1"/>
      <c r="N19" s="1"/>
      <c r="O19" s="1"/>
      <c r="P19" s="1"/>
      <c r="Q19" s="1"/>
      <c r="R19" s="1"/>
      <c r="S19" s="1"/>
      <c r="T19" s="1"/>
      <c r="U19" s="1"/>
      <c r="V19" s="1"/>
      <c r="W19" s="1"/>
      <c r="X19" s="1"/>
      <c r="Y19" s="1"/>
      <c r="Z19" s="1"/>
    </row>
    <row r="20" spans="1:26" ht="14.25" hidden="1" customHeight="1" x14ac:dyDescent="0.2">
      <c r="A20" s="69"/>
      <c r="B20" s="17">
        <v>10</v>
      </c>
      <c r="C20" s="6" t="s">
        <v>1455</v>
      </c>
      <c r="D20" s="6" t="s">
        <v>63</v>
      </c>
      <c r="E20" s="15" t="s">
        <v>64</v>
      </c>
      <c r="F20" s="15" t="s">
        <v>63</v>
      </c>
      <c r="G20" s="16" t="s">
        <v>65</v>
      </c>
      <c r="H20" s="16" t="s">
        <v>51</v>
      </c>
      <c r="I20" s="15" t="s">
        <v>51</v>
      </c>
      <c r="J20" s="15" t="s">
        <v>66</v>
      </c>
      <c r="K20" s="1"/>
      <c r="L20" s="1"/>
      <c r="M20" s="1"/>
      <c r="N20" s="1"/>
      <c r="O20" s="1"/>
      <c r="P20" s="1"/>
      <c r="Q20" s="1"/>
      <c r="R20" s="1"/>
      <c r="S20" s="1"/>
      <c r="T20" s="1"/>
      <c r="U20" s="1"/>
      <c r="V20" s="1"/>
      <c r="W20" s="1"/>
      <c r="X20" s="1"/>
      <c r="Y20" s="1"/>
      <c r="Z20" s="1"/>
    </row>
    <row r="21" spans="1:26" ht="14.25" hidden="1" customHeight="1" x14ac:dyDescent="0.2">
      <c r="A21" s="69"/>
      <c r="B21" s="17">
        <v>11</v>
      </c>
      <c r="C21" s="6" t="s">
        <v>1455</v>
      </c>
      <c r="D21" s="18" t="s">
        <v>67</v>
      </c>
      <c r="E21" s="15" t="s">
        <v>68</v>
      </c>
      <c r="F21" s="15" t="s">
        <v>69</v>
      </c>
      <c r="G21" s="16" t="s">
        <v>57</v>
      </c>
      <c r="H21" s="16" t="s">
        <v>37</v>
      </c>
      <c r="I21" s="15" t="s">
        <v>51</v>
      </c>
      <c r="J21" s="15"/>
      <c r="K21" s="1"/>
      <c r="L21" s="1"/>
      <c r="M21" s="1"/>
      <c r="N21" s="1"/>
      <c r="O21" s="1"/>
      <c r="P21" s="1"/>
      <c r="Q21" s="1"/>
      <c r="R21" s="1"/>
      <c r="S21" s="1"/>
      <c r="T21" s="1"/>
      <c r="U21" s="1"/>
      <c r="V21" s="1"/>
      <c r="W21" s="1"/>
      <c r="X21" s="1"/>
      <c r="Y21" s="1"/>
      <c r="Z21" s="1"/>
    </row>
    <row r="22" spans="1:26" ht="14.25" hidden="1" customHeight="1" x14ac:dyDescent="0.2">
      <c r="A22" s="69"/>
      <c r="B22" s="17">
        <v>12</v>
      </c>
      <c r="C22" s="6" t="s">
        <v>1455</v>
      </c>
      <c r="D22" s="18" t="s">
        <v>70</v>
      </c>
      <c r="E22" s="15" t="s">
        <v>71</v>
      </c>
      <c r="F22" s="15" t="s">
        <v>72</v>
      </c>
      <c r="G22" s="16" t="s">
        <v>57</v>
      </c>
      <c r="H22" s="16" t="s">
        <v>37</v>
      </c>
      <c r="I22" s="15" t="s">
        <v>51</v>
      </c>
      <c r="J22" s="15"/>
      <c r="K22" s="1"/>
      <c r="L22" s="1"/>
      <c r="M22" s="1"/>
      <c r="N22" s="1"/>
      <c r="O22" s="1"/>
      <c r="P22" s="1"/>
      <c r="Q22" s="1"/>
      <c r="R22" s="1"/>
      <c r="S22" s="1"/>
      <c r="T22" s="1"/>
      <c r="U22" s="1"/>
      <c r="V22" s="1"/>
      <c r="W22" s="1"/>
      <c r="X22" s="1"/>
      <c r="Y22" s="1"/>
      <c r="Z22" s="1"/>
    </row>
    <row r="23" spans="1:26" ht="14.25" hidden="1" customHeight="1" x14ac:dyDescent="0.2">
      <c r="A23" s="69"/>
      <c r="B23" s="17">
        <v>13</v>
      </c>
      <c r="C23" s="6" t="s">
        <v>1455</v>
      </c>
      <c r="D23" s="6" t="s">
        <v>73</v>
      </c>
      <c r="E23" s="15" t="s">
        <v>74</v>
      </c>
      <c r="F23" s="15" t="s">
        <v>75</v>
      </c>
      <c r="G23" s="16" t="s">
        <v>35</v>
      </c>
      <c r="H23" s="16" t="s">
        <v>37</v>
      </c>
      <c r="I23" s="15" t="s">
        <v>37</v>
      </c>
      <c r="J23" s="15"/>
      <c r="K23" s="1"/>
      <c r="L23" s="1"/>
      <c r="M23" s="1"/>
      <c r="N23" s="1"/>
      <c r="O23" s="1"/>
      <c r="P23" s="1"/>
      <c r="Q23" s="1"/>
      <c r="R23" s="1"/>
      <c r="S23" s="1"/>
      <c r="T23" s="1"/>
      <c r="U23" s="1"/>
      <c r="V23" s="1"/>
      <c r="W23" s="1"/>
      <c r="X23" s="1"/>
      <c r="Y23" s="1"/>
      <c r="Z23" s="1"/>
    </row>
    <row r="24" spans="1:26" ht="14.25" hidden="1" customHeight="1" x14ac:dyDescent="0.2">
      <c r="A24" s="69"/>
      <c r="B24" s="17">
        <v>14</v>
      </c>
      <c r="C24" s="6" t="s">
        <v>1455</v>
      </c>
      <c r="D24" s="6" t="s">
        <v>76</v>
      </c>
      <c r="E24" s="15" t="s">
        <v>77</v>
      </c>
      <c r="F24" s="15" t="s">
        <v>76</v>
      </c>
      <c r="G24" s="16" t="s">
        <v>35</v>
      </c>
      <c r="H24" s="16" t="s">
        <v>37</v>
      </c>
      <c r="I24" s="15" t="s">
        <v>37</v>
      </c>
      <c r="J24" s="15"/>
      <c r="K24" s="1"/>
      <c r="L24" s="1"/>
      <c r="M24" s="1"/>
      <c r="N24" s="1"/>
      <c r="O24" s="1"/>
      <c r="P24" s="1"/>
      <c r="Q24" s="1"/>
      <c r="R24" s="1"/>
      <c r="S24" s="1"/>
      <c r="T24" s="1"/>
      <c r="U24" s="1"/>
      <c r="V24" s="1"/>
      <c r="W24" s="1"/>
      <c r="X24" s="1"/>
      <c r="Y24" s="1"/>
      <c r="Z24" s="1"/>
    </row>
    <row r="25" spans="1:26" ht="14.25" hidden="1" customHeight="1" x14ac:dyDescent="0.2">
      <c r="A25" s="69"/>
      <c r="B25" s="17">
        <v>15</v>
      </c>
      <c r="C25" s="6" t="s">
        <v>1455</v>
      </c>
      <c r="D25" s="6" t="s">
        <v>78</v>
      </c>
      <c r="E25" s="15" t="s">
        <v>79</v>
      </c>
      <c r="F25" s="15" t="s">
        <v>80</v>
      </c>
      <c r="G25" s="16" t="s">
        <v>35</v>
      </c>
      <c r="H25" s="16" t="s">
        <v>37</v>
      </c>
      <c r="I25" s="15" t="s">
        <v>37</v>
      </c>
      <c r="J25" s="15"/>
      <c r="K25" s="1"/>
      <c r="L25" s="1"/>
      <c r="M25" s="1"/>
      <c r="N25" s="1"/>
      <c r="O25" s="1"/>
      <c r="P25" s="1"/>
      <c r="Q25" s="1"/>
      <c r="R25" s="1"/>
      <c r="S25" s="1"/>
      <c r="T25" s="1"/>
      <c r="U25" s="1"/>
      <c r="V25" s="1"/>
      <c r="W25" s="1"/>
      <c r="X25" s="1"/>
      <c r="Y25" s="1"/>
      <c r="Z25" s="1"/>
    </row>
    <row r="26" spans="1:26" ht="14.25" hidden="1" customHeight="1" x14ac:dyDescent="0.2">
      <c r="A26" s="69"/>
      <c r="B26" s="17">
        <v>16</v>
      </c>
      <c r="C26" s="6" t="s">
        <v>1455</v>
      </c>
      <c r="D26" s="6" t="s">
        <v>81</v>
      </c>
      <c r="E26" s="15" t="s">
        <v>82</v>
      </c>
      <c r="F26" s="15" t="s">
        <v>81</v>
      </c>
      <c r="G26" s="16" t="s">
        <v>35</v>
      </c>
      <c r="H26" s="16" t="s">
        <v>37</v>
      </c>
      <c r="I26" s="15" t="s">
        <v>37</v>
      </c>
      <c r="J26" s="15"/>
      <c r="K26" s="1"/>
      <c r="L26" s="1"/>
      <c r="M26" s="1"/>
      <c r="N26" s="1"/>
      <c r="O26" s="1"/>
      <c r="P26" s="1"/>
      <c r="Q26" s="1"/>
      <c r="R26" s="1"/>
      <c r="S26" s="1"/>
      <c r="T26" s="1"/>
      <c r="U26" s="1"/>
      <c r="V26" s="1"/>
      <c r="W26" s="1"/>
      <c r="X26" s="1"/>
      <c r="Y26" s="1"/>
      <c r="Z26" s="1"/>
    </row>
    <row r="27" spans="1:26" ht="14.25" hidden="1" customHeight="1" x14ac:dyDescent="0.2">
      <c r="A27" s="69"/>
      <c r="B27" s="17">
        <v>17</v>
      </c>
      <c r="C27" s="6" t="s">
        <v>1455</v>
      </c>
      <c r="D27" s="18" t="s">
        <v>83</v>
      </c>
      <c r="E27" s="15" t="s">
        <v>84</v>
      </c>
      <c r="F27" s="15" t="s">
        <v>85</v>
      </c>
      <c r="G27" s="16" t="s">
        <v>57</v>
      </c>
      <c r="H27" s="16" t="s">
        <v>37</v>
      </c>
      <c r="I27" s="15" t="s">
        <v>51</v>
      </c>
      <c r="J27" s="15"/>
      <c r="K27" s="1"/>
      <c r="L27" s="1"/>
      <c r="M27" s="1"/>
      <c r="N27" s="1"/>
      <c r="O27" s="1"/>
      <c r="P27" s="1"/>
      <c r="Q27" s="1"/>
      <c r="R27" s="1"/>
      <c r="S27" s="1"/>
      <c r="T27" s="1"/>
      <c r="U27" s="1"/>
      <c r="V27" s="1"/>
      <c r="W27" s="1"/>
      <c r="X27" s="1"/>
      <c r="Y27" s="1"/>
      <c r="Z27" s="1"/>
    </row>
    <row r="28" spans="1:26" ht="14.25" hidden="1" customHeight="1" x14ac:dyDescent="0.2">
      <c r="A28" s="69"/>
      <c r="B28" s="17">
        <v>18</v>
      </c>
      <c r="C28" s="6" t="s">
        <v>1455</v>
      </c>
      <c r="D28" s="6" t="s">
        <v>86</v>
      </c>
      <c r="E28" s="15" t="s">
        <v>87</v>
      </c>
      <c r="F28" s="15" t="s">
        <v>86</v>
      </c>
      <c r="G28" s="16" t="s">
        <v>35</v>
      </c>
      <c r="H28" s="16" t="s">
        <v>37</v>
      </c>
      <c r="I28" s="15" t="s">
        <v>37</v>
      </c>
      <c r="J28" s="15"/>
      <c r="K28" s="1"/>
      <c r="L28" s="1"/>
      <c r="M28" s="1"/>
      <c r="N28" s="1"/>
      <c r="O28" s="1"/>
      <c r="P28" s="1"/>
      <c r="Q28" s="1"/>
      <c r="R28" s="1"/>
      <c r="S28" s="1"/>
      <c r="T28" s="1"/>
      <c r="U28" s="1"/>
      <c r="V28" s="1"/>
      <c r="W28" s="1"/>
      <c r="X28" s="1"/>
      <c r="Y28" s="1"/>
      <c r="Z28" s="1"/>
    </row>
    <row r="29" spans="1:26" ht="14.25" hidden="1" customHeight="1" x14ac:dyDescent="0.2">
      <c r="A29" s="69"/>
      <c r="B29" s="17">
        <v>19</v>
      </c>
      <c r="C29" s="6" t="s">
        <v>1455</v>
      </c>
      <c r="D29" s="6" t="s">
        <v>88</v>
      </c>
      <c r="E29" s="15" t="s">
        <v>89</v>
      </c>
      <c r="F29" s="15" t="s">
        <v>90</v>
      </c>
      <c r="G29" s="16" t="s">
        <v>35</v>
      </c>
      <c r="H29" s="16" t="s">
        <v>51</v>
      </c>
      <c r="I29" s="15" t="s">
        <v>51</v>
      </c>
      <c r="J29" s="15" t="s">
        <v>53</v>
      </c>
      <c r="K29" s="1"/>
      <c r="L29" s="1"/>
      <c r="M29" s="1"/>
      <c r="N29" s="1"/>
      <c r="O29" s="1"/>
      <c r="P29" s="1"/>
      <c r="Q29" s="1"/>
      <c r="R29" s="1"/>
      <c r="S29" s="1"/>
      <c r="T29" s="1"/>
      <c r="U29" s="1"/>
      <c r="V29" s="1"/>
      <c r="W29" s="1"/>
      <c r="X29" s="1"/>
      <c r="Y29" s="1"/>
      <c r="Z29" s="1"/>
    </row>
    <row r="30" spans="1:26" ht="14.25" customHeight="1" x14ac:dyDescent="0.2">
      <c r="A30" s="69"/>
      <c r="B30" s="17">
        <v>20</v>
      </c>
      <c r="C30" s="6" t="s">
        <v>1455</v>
      </c>
      <c r="D30" s="6" t="s">
        <v>91</v>
      </c>
      <c r="E30" s="15" t="s">
        <v>92</v>
      </c>
      <c r="F30" s="15" t="s">
        <v>93</v>
      </c>
      <c r="G30" s="16" t="s">
        <v>57</v>
      </c>
      <c r="H30" s="16" t="s">
        <v>51</v>
      </c>
      <c r="I30" s="15" t="s">
        <v>51</v>
      </c>
      <c r="J30" s="15"/>
      <c r="K30" s="1"/>
      <c r="L30" s="1"/>
      <c r="M30" s="1"/>
      <c r="N30" s="1"/>
      <c r="O30" s="1"/>
      <c r="P30" s="1"/>
      <c r="Q30" s="1"/>
      <c r="R30" s="1"/>
      <c r="S30" s="1"/>
      <c r="T30" s="1"/>
      <c r="U30" s="1"/>
      <c r="V30" s="1"/>
      <c r="W30" s="1"/>
      <c r="X30" s="1"/>
      <c r="Y30" s="1"/>
      <c r="Z30" s="1"/>
    </row>
    <row r="31" spans="1:26" ht="14.25" hidden="1" customHeight="1" x14ac:dyDescent="0.2">
      <c r="A31" s="69"/>
      <c r="B31" s="17">
        <v>21</v>
      </c>
      <c r="C31" s="6" t="s">
        <v>1455</v>
      </c>
      <c r="D31" s="6" t="s">
        <v>94</v>
      </c>
      <c r="E31" s="15" t="s">
        <v>95</v>
      </c>
      <c r="F31" s="15" t="s">
        <v>94</v>
      </c>
      <c r="G31" s="16" t="s">
        <v>35</v>
      </c>
      <c r="H31" s="16" t="s">
        <v>37</v>
      </c>
      <c r="I31" s="15" t="s">
        <v>37</v>
      </c>
      <c r="J31" s="15"/>
      <c r="K31" s="1"/>
      <c r="L31" s="1"/>
      <c r="M31" s="1"/>
      <c r="N31" s="1"/>
      <c r="O31" s="1"/>
      <c r="P31" s="1"/>
      <c r="Q31" s="1"/>
      <c r="R31" s="1"/>
      <c r="S31" s="1"/>
      <c r="T31" s="1"/>
      <c r="U31" s="1"/>
      <c r="V31" s="1"/>
      <c r="W31" s="1"/>
      <c r="X31" s="1"/>
      <c r="Y31" s="1"/>
      <c r="Z31" s="1"/>
    </row>
    <row r="32" spans="1:26" ht="14.25" hidden="1" customHeight="1" x14ac:dyDescent="0.2">
      <c r="A32" s="69"/>
      <c r="B32" s="17">
        <v>22</v>
      </c>
      <c r="C32" s="6" t="s">
        <v>1455</v>
      </c>
      <c r="D32" s="6" t="s">
        <v>96</v>
      </c>
      <c r="E32" s="15" t="s">
        <v>97</v>
      </c>
      <c r="F32" s="15" t="s">
        <v>96</v>
      </c>
      <c r="G32" s="16" t="s">
        <v>35</v>
      </c>
      <c r="H32" s="16" t="s">
        <v>37</v>
      </c>
      <c r="I32" s="15" t="s">
        <v>37</v>
      </c>
      <c r="J32" s="15"/>
      <c r="K32" s="1"/>
      <c r="L32" s="1"/>
      <c r="M32" s="1"/>
      <c r="N32" s="1"/>
      <c r="O32" s="1"/>
      <c r="P32" s="1"/>
      <c r="Q32" s="1"/>
      <c r="R32" s="1"/>
      <c r="S32" s="1"/>
      <c r="T32" s="1"/>
      <c r="U32" s="1"/>
      <c r="V32" s="1"/>
      <c r="W32" s="1"/>
      <c r="X32" s="1"/>
      <c r="Y32" s="1"/>
      <c r="Z32" s="1"/>
    </row>
    <row r="33" spans="1:26" ht="14.25" customHeight="1" x14ac:dyDescent="0.2">
      <c r="A33" s="69"/>
      <c r="B33" s="17">
        <v>23</v>
      </c>
      <c r="C33" s="6" t="s">
        <v>1455</v>
      </c>
      <c r="D33" s="6" t="s">
        <v>98</v>
      </c>
      <c r="E33" s="15" t="s">
        <v>99</v>
      </c>
      <c r="F33" s="15" t="s">
        <v>100</v>
      </c>
      <c r="G33" s="16" t="s">
        <v>35</v>
      </c>
      <c r="H33" s="16" t="s">
        <v>51</v>
      </c>
      <c r="I33" s="15" t="s">
        <v>51</v>
      </c>
      <c r="J33" s="15"/>
      <c r="K33" s="1"/>
      <c r="L33" s="1"/>
      <c r="M33" s="1"/>
      <c r="N33" s="1"/>
      <c r="O33" s="1"/>
      <c r="P33" s="1"/>
      <c r="Q33" s="1"/>
      <c r="R33" s="1"/>
      <c r="S33" s="1"/>
      <c r="T33" s="1"/>
      <c r="U33" s="1"/>
      <c r="V33" s="1"/>
      <c r="W33" s="1"/>
      <c r="X33" s="1"/>
      <c r="Y33" s="1"/>
      <c r="Z33" s="1"/>
    </row>
    <row r="34" spans="1:26" ht="14.25" hidden="1" customHeight="1" x14ac:dyDescent="0.2">
      <c r="A34" s="69"/>
      <c r="B34" s="17">
        <v>24</v>
      </c>
      <c r="C34" s="6" t="s">
        <v>1455</v>
      </c>
      <c r="D34" s="6" t="s">
        <v>101</v>
      </c>
      <c r="E34" s="15" t="s">
        <v>102</v>
      </c>
      <c r="F34" s="15" t="s">
        <v>101</v>
      </c>
      <c r="G34" s="16" t="s">
        <v>57</v>
      </c>
      <c r="H34" s="16" t="s">
        <v>37</v>
      </c>
      <c r="I34" s="15" t="s">
        <v>51</v>
      </c>
      <c r="J34" s="15"/>
      <c r="K34" s="1"/>
      <c r="L34" s="1"/>
      <c r="M34" s="1"/>
      <c r="N34" s="1"/>
      <c r="O34" s="1"/>
      <c r="P34" s="1"/>
      <c r="Q34" s="1"/>
      <c r="R34" s="1"/>
      <c r="S34" s="1"/>
      <c r="T34" s="1"/>
      <c r="U34" s="1"/>
      <c r="V34" s="1"/>
      <c r="W34" s="1"/>
      <c r="X34" s="1"/>
      <c r="Y34" s="1"/>
      <c r="Z34" s="1"/>
    </row>
    <row r="35" spans="1:26" ht="14.25" hidden="1" customHeight="1" x14ac:dyDescent="0.2">
      <c r="A35" s="69"/>
      <c r="B35" s="17">
        <v>25</v>
      </c>
      <c r="C35" s="6" t="s">
        <v>1455</v>
      </c>
      <c r="D35" s="6" t="s">
        <v>103</v>
      </c>
      <c r="E35" s="15" t="s">
        <v>104</v>
      </c>
      <c r="F35" s="15" t="s">
        <v>103</v>
      </c>
      <c r="G35" s="16" t="s">
        <v>35</v>
      </c>
      <c r="H35" s="16" t="s">
        <v>37</v>
      </c>
      <c r="I35" s="15" t="s">
        <v>37</v>
      </c>
      <c r="J35" s="15"/>
      <c r="K35" s="1"/>
      <c r="L35" s="1"/>
      <c r="M35" s="1"/>
      <c r="N35" s="1"/>
      <c r="O35" s="1"/>
      <c r="P35" s="1"/>
      <c r="Q35" s="1"/>
      <c r="R35" s="1"/>
      <c r="S35" s="1"/>
      <c r="T35" s="1"/>
      <c r="U35" s="1"/>
      <c r="V35" s="1"/>
      <c r="W35" s="1"/>
      <c r="X35" s="1"/>
      <c r="Y35" s="1"/>
      <c r="Z35" s="1"/>
    </row>
    <row r="36" spans="1:26" ht="14.25" customHeight="1" x14ac:dyDescent="0.2">
      <c r="A36" s="69"/>
      <c r="B36" s="17">
        <v>26</v>
      </c>
      <c r="C36" s="6" t="s">
        <v>1455</v>
      </c>
      <c r="D36" s="6" t="s">
        <v>105</v>
      </c>
      <c r="E36" s="15" t="s">
        <v>106</v>
      </c>
      <c r="F36" s="15" t="s">
        <v>107</v>
      </c>
      <c r="G36" s="16" t="s">
        <v>57</v>
      </c>
      <c r="H36" s="16" t="s">
        <v>51</v>
      </c>
      <c r="I36" s="15" t="s">
        <v>51</v>
      </c>
      <c r="J36" s="15"/>
      <c r="K36" s="1"/>
      <c r="L36" s="1"/>
      <c r="M36" s="1"/>
      <c r="N36" s="1"/>
      <c r="O36" s="1"/>
      <c r="P36" s="1"/>
      <c r="Q36" s="1"/>
      <c r="R36" s="1"/>
      <c r="S36" s="1"/>
      <c r="T36" s="1"/>
      <c r="U36" s="1"/>
      <c r="V36" s="1"/>
      <c r="W36" s="1"/>
      <c r="X36" s="1"/>
      <c r="Y36" s="1"/>
      <c r="Z36" s="1"/>
    </row>
    <row r="37" spans="1:26" ht="14.25" hidden="1" customHeight="1" x14ac:dyDescent="0.2">
      <c r="A37" s="69"/>
      <c r="B37" s="17">
        <v>27</v>
      </c>
      <c r="C37" s="6" t="s">
        <v>1455</v>
      </c>
      <c r="D37" s="6" t="s">
        <v>108</v>
      </c>
      <c r="E37" s="15" t="s">
        <v>109</v>
      </c>
      <c r="F37" s="15" t="s">
        <v>108</v>
      </c>
      <c r="G37" s="16" t="s">
        <v>35</v>
      </c>
      <c r="H37" s="16" t="s">
        <v>37</v>
      </c>
      <c r="I37" s="15" t="s">
        <v>37</v>
      </c>
      <c r="J37" s="15"/>
      <c r="K37" s="1"/>
      <c r="L37" s="1"/>
      <c r="M37" s="1"/>
      <c r="N37" s="1"/>
      <c r="O37" s="1"/>
      <c r="P37" s="1"/>
      <c r="Q37" s="1"/>
      <c r="R37" s="1"/>
      <c r="S37" s="1"/>
      <c r="T37" s="1"/>
      <c r="U37" s="1"/>
      <c r="V37" s="1"/>
      <c r="W37" s="1"/>
      <c r="X37" s="1"/>
      <c r="Y37" s="1"/>
      <c r="Z37" s="1"/>
    </row>
    <row r="38" spans="1:26" ht="14.25" hidden="1" customHeight="1" x14ac:dyDescent="0.2">
      <c r="A38" s="69"/>
      <c r="B38" s="17">
        <v>28</v>
      </c>
      <c r="C38" s="6" t="s">
        <v>1455</v>
      </c>
      <c r="D38" s="6" t="s">
        <v>110</v>
      </c>
      <c r="E38" s="15" t="s">
        <v>111</v>
      </c>
      <c r="F38" s="15" t="s">
        <v>110</v>
      </c>
      <c r="G38" s="16" t="s">
        <v>35</v>
      </c>
      <c r="H38" s="16" t="s">
        <v>37</v>
      </c>
      <c r="I38" s="15" t="s">
        <v>37</v>
      </c>
      <c r="J38" s="15"/>
      <c r="K38" s="1"/>
      <c r="L38" s="1"/>
      <c r="M38" s="1"/>
      <c r="N38" s="1"/>
      <c r="O38" s="1"/>
      <c r="P38" s="1"/>
      <c r="Q38" s="1"/>
      <c r="R38" s="1"/>
      <c r="S38" s="1"/>
      <c r="T38" s="1"/>
      <c r="U38" s="1"/>
      <c r="V38" s="1"/>
      <c r="W38" s="1"/>
      <c r="X38" s="1"/>
      <c r="Y38" s="1"/>
      <c r="Z38" s="1"/>
    </row>
    <row r="39" spans="1:26" ht="14.25" hidden="1" customHeight="1" x14ac:dyDescent="0.2">
      <c r="A39" s="69"/>
      <c r="B39" s="17">
        <v>29</v>
      </c>
      <c r="C39" s="6" t="s">
        <v>1455</v>
      </c>
      <c r="D39" s="6" t="s">
        <v>112</v>
      </c>
      <c r="E39" s="15" t="s">
        <v>113</v>
      </c>
      <c r="F39" s="15" t="s">
        <v>112</v>
      </c>
      <c r="G39" s="16" t="s">
        <v>35</v>
      </c>
      <c r="H39" s="16" t="s">
        <v>37</v>
      </c>
      <c r="I39" s="15" t="s">
        <v>51</v>
      </c>
      <c r="J39" s="15" t="s">
        <v>114</v>
      </c>
      <c r="K39" s="1"/>
      <c r="L39" s="1"/>
      <c r="M39" s="1"/>
      <c r="N39" s="1"/>
      <c r="O39" s="1"/>
      <c r="P39" s="1"/>
      <c r="Q39" s="1"/>
      <c r="R39" s="1"/>
      <c r="S39" s="1"/>
      <c r="T39" s="1"/>
      <c r="U39" s="1"/>
      <c r="V39" s="1"/>
      <c r="W39" s="1"/>
      <c r="X39" s="1"/>
      <c r="Y39" s="1"/>
      <c r="Z39" s="1"/>
    </row>
    <row r="40" spans="1:26" ht="14.25" hidden="1" customHeight="1" x14ac:dyDescent="0.2">
      <c r="A40" s="69"/>
      <c r="B40" s="17">
        <v>30</v>
      </c>
      <c r="C40" s="6" t="s">
        <v>1455</v>
      </c>
      <c r="D40" s="6" t="s">
        <v>115</v>
      </c>
      <c r="E40" s="15" t="s">
        <v>116</v>
      </c>
      <c r="F40" s="15" t="s">
        <v>115</v>
      </c>
      <c r="G40" s="16" t="s">
        <v>35</v>
      </c>
      <c r="H40" s="16" t="s">
        <v>37</v>
      </c>
      <c r="I40" s="15" t="s">
        <v>51</v>
      </c>
      <c r="J40" s="15"/>
      <c r="K40" s="1"/>
      <c r="L40" s="1"/>
      <c r="M40" s="1"/>
      <c r="N40" s="1"/>
      <c r="O40" s="1"/>
      <c r="P40" s="1"/>
      <c r="Q40" s="1"/>
      <c r="R40" s="1"/>
      <c r="S40" s="1"/>
      <c r="T40" s="1"/>
      <c r="U40" s="1"/>
      <c r="V40" s="1"/>
      <c r="W40" s="1"/>
      <c r="X40" s="1"/>
      <c r="Y40" s="1"/>
      <c r="Z40" s="1"/>
    </row>
    <row r="41" spans="1:26" ht="14.25" hidden="1" customHeight="1" x14ac:dyDescent="0.2">
      <c r="A41" s="69"/>
      <c r="B41" s="17">
        <v>31</v>
      </c>
      <c r="C41" s="6" t="s">
        <v>1455</v>
      </c>
      <c r="D41" s="6" t="s">
        <v>117</v>
      </c>
      <c r="E41" s="15" t="s">
        <v>118</v>
      </c>
      <c r="F41" s="15" t="s">
        <v>117</v>
      </c>
      <c r="G41" s="16" t="s">
        <v>35</v>
      </c>
      <c r="H41" s="16" t="s">
        <v>37</v>
      </c>
      <c r="I41" s="15" t="s">
        <v>51</v>
      </c>
      <c r="J41" s="15"/>
      <c r="K41" s="1"/>
      <c r="L41" s="1"/>
      <c r="M41" s="1"/>
      <c r="N41" s="1"/>
      <c r="O41" s="1"/>
      <c r="P41" s="1"/>
      <c r="Q41" s="1"/>
      <c r="R41" s="1"/>
      <c r="S41" s="1"/>
      <c r="T41" s="1"/>
      <c r="U41" s="1"/>
      <c r="V41" s="1"/>
      <c r="W41" s="1"/>
      <c r="X41" s="1"/>
      <c r="Y41" s="1"/>
      <c r="Z41" s="1"/>
    </row>
    <row r="42" spans="1:26" ht="14.25" hidden="1" customHeight="1" x14ac:dyDescent="0.2">
      <c r="A42" s="69"/>
      <c r="B42" s="17">
        <v>32</v>
      </c>
      <c r="C42" s="6" t="s">
        <v>1455</v>
      </c>
      <c r="D42" s="6" t="s">
        <v>119</v>
      </c>
      <c r="E42" s="15" t="s">
        <v>120</v>
      </c>
      <c r="F42" s="15" t="s">
        <v>119</v>
      </c>
      <c r="G42" s="16" t="s">
        <v>35</v>
      </c>
      <c r="H42" s="16" t="s">
        <v>37</v>
      </c>
      <c r="I42" s="15" t="s">
        <v>51</v>
      </c>
      <c r="J42" s="15"/>
      <c r="K42" s="1"/>
      <c r="L42" s="1"/>
      <c r="M42" s="1"/>
      <c r="N42" s="1"/>
      <c r="O42" s="1"/>
      <c r="P42" s="1"/>
      <c r="Q42" s="1"/>
      <c r="R42" s="1"/>
      <c r="S42" s="1"/>
      <c r="T42" s="1"/>
      <c r="U42" s="1"/>
      <c r="V42" s="1"/>
      <c r="W42" s="1"/>
      <c r="X42" s="1"/>
      <c r="Y42" s="1"/>
      <c r="Z42" s="1"/>
    </row>
    <row r="43" spans="1:26" ht="14.25" hidden="1" customHeight="1" x14ac:dyDescent="0.2">
      <c r="A43" s="69"/>
      <c r="B43" s="17">
        <v>33</v>
      </c>
      <c r="C43" s="6" t="s">
        <v>1455</v>
      </c>
      <c r="D43" s="18" t="s">
        <v>121</v>
      </c>
      <c r="E43" s="15" t="s">
        <v>122</v>
      </c>
      <c r="F43" s="15" t="s">
        <v>123</v>
      </c>
      <c r="G43" s="16" t="s">
        <v>57</v>
      </c>
      <c r="H43" s="16" t="s">
        <v>51</v>
      </c>
      <c r="I43" s="15" t="s">
        <v>51</v>
      </c>
      <c r="J43" s="15" t="s">
        <v>53</v>
      </c>
      <c r="K43" s="1"/>
      <c r="L43" s="1"/>
      <c r="M43" s="1"/>
      <c r="N43" s="1"/>
      <c r="O43" s="1"/>
      <c r="P43" s="1"/>
      <c r="Q43" s="1"/>
      <c r="R43" s="1"/>
      <c r="S43" s="1"/>
      <c r="T43" s="1"/>
      <c r="U43" s="1"/>
      <c r="V43" s="1"/>
      <c r="W43" s="1"/>
      <c r="X43" s="1"/>
      <c r="Y43" s="1"/>
      <c r="Z43" s="1"/>
    </row>
    <row r="44" spans="1:26" ht="14.25" hidden="1" customHeight="1" x14ac:dyDescent="0.2">
      <c r="A44" s="69"/>
      <c r="B44" s="17">
        <v>34</v>
      </c>
      <c r="C44" s="6" t="s">
        <v>1455</v>
      </c>
      <c r="D44" s="6" t="s">
        <v>124</v>
      </c>
      <c r="E44" s="15" t="s">
        <v>125</v>
      </c>
      <c r="F44" s="15" t="s">
        <v>124</v>
      </c>
      <c r="G44" s="16" t="s">
        <v>35</v>
      </c>
      <c r="H44" s="16" t="s">
        <v>37</v>
      </c>
      <c r="I44" s="15" t="s">
        <v>51</v>
      </c>
      <c r="J44" s="15"/>
      <c r="K44" s="1"/>
      <c r="L44" s="1"/>
      <c r="M44" s="1"/>
      <c r="N44" s="1"/>
      <c r="O44" s="1"/>
      <c r="P44" s="1"/>
      <c r="Q44" s="1"/>
      <c r="R44" s="1"/>
      <c r="S44" s="1"/>
      <c r="T44" s="1"/>
      <c r="U44" s="1"/>
      <c r="V44" s="1"/>
      <c r="W44" s="1"/>
      <c r="X44" s="1"/>
      <c r="Y44" s="1"/>
      <c r="Z44" s="1"/>
    </row>
    <row r="45" spans="1:26" ht="14.25" hidden="1" customHeight="1" x14ac:dyDescent="0.2">
      <c r="A45" s="69"/>
      <c r="B45" s="17">
        <v>35</v>
      </c>
      <c r="C45" s="6" t="s">
        <v>1455</v>
      </c>
      <c r="D45" s="6" t="s">
        <v>126</v>
      </c>
      <c r="E45" s="15" t="s">
        <v>127</v>
      </c>
      <c r="F45" s="15" t="s">
        <v>128</v>
      </c>
      <c r="G45" s="16" t="s">
        <v>35</v>
      </c>
      <c r="H45" s="16" t="s">
        <v>51</v>
      </c>
      <c r="I45" s="15" t="s">
        <v>51</v>
      </c>
      <c r="J45" s="15" t="s">
        <v>53</v>
      </c>
      <c r="K45" s="1"/>
      <c r="L45" s="1"/>
      <c r="M45" s="1"/>
      <c r="N45" s="1"/>
      <c r="O45" s="1"/>
      <c r="P45" s="1"/>
      <c r="Q45" s="1"/>
      <c r="R45" s="1"/>
      <c r="S45" s="1"/>
      <c r="T45" s="1"/>
      <c r="U45" s="1"/>
      <c r="V45" s="1"/>
      <c r="W45" s="1"/>
      <c r="X45" s="1"/>
      <c r="Y45" s="1"/>
      <c r="Z45" s="1"/>
    </row>
    <row r="46" spans="1:26" ht="14.25" hidden="1" customHeight="1" x14ac:dyDescent="0.2">
      <c r="A46" s="69"/>
      <c r="B46" s="17">
        <v>36</v>
      </c>
      <c r="C46" s="6" t="s">
        <v>1455</v>
      </c>
      <c r="D46" s="6" t="s">
        <v>129</v>
      </c>
      <c r="E46" s="15" t="s">
        <v>130</v>
      </c>
      <c r="F46" s="15" t="s">
        <v>129</v>
      </c>
      <c r="G46" s="16" t="s">
        <v>35</v>
      </c>
      <c r="H46" s="16" t="s">
        <v>37</v>
      </c>
      <c r="I46" s="15" t="s">
        <v>51</v>
      </c>
      <c r="J46" s="15"/>
      <c r="K46" s="1"/>
      <c r="L46" s="1"/>
      <c r="M46" s="1"/>
      <c r="N46" s="1"/>
      <c r="O46" s="1"/>
      <c r="P46" s="1"/>
      <c r="Q46" s="1"/>
      <c r="R46" s="1"/>
      <c r="S46" s="1"/>
      <c r="T46" s="1"/>
      <c r="U46" s="1"/>
      <c r="V46" s="1"/>
      <c r="W46" s="1"/>
      <c r="X46" s="1"/>
      <c r="Y46" s="1"/>
      <c r="Z46" s="1"/>
    </row>
    <row r="47" spans="1:26" ht="14.25" hidden="1" customHeight="1" x14ac:dyDescent="0.2">
      <c r="A47" s="69"/>
      <c r="B47" s="17">
        <v>37</v>
      </c>
      <c r="C47" s="6" t="s">
        <v>1455</v>
      </c>
      <c r="D47" s="6" t="s">
        <v>131</v>
      </c>
      <c r="E47" s="15" t="s">
        <v>132</v>
      </c>
      <c r="F47" s="15" t="s">
        <v>131</v>
      </c>
      <c r="G47" s="16" t="s">
        <v>35</v>
      </c>
      <c r="H47" s="16" t="s">
        <v>37</v>
      </c>
      <c r="I47" s="15" t="s">
        <v>51</v>
      </c>
      <c r="J47" s="15"/>
      <c r="K47" s="1"/>
      <c r="L47" s="1"/>
      <c r="M47" s="1"/>
      <c r="N47" s="1"/>
      <c r="O47" s="1"/>
      <c r="P47" s="1"/>
      <c r="Q47" s="1"/>
      <c r="R47" s="1"/>
      <c r="S47" s="1"/>
      <c r="T47" s="1"/>
      <c r="U47" s="1"/>
      <c r="V47" s="1"/>
      <c r="W47" s="1"/>
      <c r="X47" s="1"/>
      <c r="Y47" s="1"/>
      <c r="Z47" s="1"/>
    </row>
    <row r="48" spans="1:26" ht="14.25" hidden="1" customHeight="1" x14ac:dyDescent="0.2">
      <c r="A48" s="69"/>
      <c r="B48" s="17">
        <v>38</v>
      </c>
      <c r="C48" s="6" t="s">
        <v>1455</v>
      </c>
      <c r="D48" s="6" t="s">
        <v>133</v>
      </c>
      <c r="E48" s="15" t="s">
        <v>134</v>
      </c>
      <c r="F48" s="15" t="s">
        <v>135</v>
      </c>
      <c r="G48" s="16" t="s">
        <v>35</v>
      </c>
      <c r="H48" s="16" t="s">
        <v>37</v>
      </c>
      <c r="I48" s="15" t="s">
        <v>51</v>
      </c>
      <c r="J48" s="15"/>
      <c r="K48" s="1"/>
      <c r="L48" s="1"/>
      <c r="M48" s="1"/>
      <c r="N48" s="1"/>
      <c r="O48" s="1"/>
      <c r="P48" s="1"/>
      <c r="Q48" s="1"/>
      <c r="R48" s="1"/>
      <c r="S48" s="1"/>
      <c r="T48" s="1"/>
      <c r="U48" s="1"/>
      <c r="V48" s="1"/>
      <c r="W48" s="1"/>
      <c r="X48" s="1"/>
      <c r="Y48" s="1"/>
      <c r="Z48" s="1"/>
    </row>
    <row r="49" spans="1:26" ht="14.25" hidden="1" customHeight="1" x14ac:dyDescent="0.2">
      <c r="A49" s="69"/>
      <c r="B49" s="17">
        <v>39</v>
      </c>
      <c r="C49" s="6" t="s">
        <v>1455</v>
      </c>
      <c r="D49" s="6" t="s">
        <v>136</v>
      </c>
      <c r="E49" s="15" t="s">
        <v>137</v>
      </c>
      <c r="F49" s="15" t="s">
        <v>136</v>
      </c>
      <c r="G49" s="16" t="s">
        <v>35</v>
      </c>
      <c r="H49" s="16" t="s">
        <v>37</v>
      </c>
      <c r="I49" s="15" t="s">
        <v>51</v>
      </c>
      <c r="J49" s="15"/>
      <c r="K49" s="1"/>
      <c r="L49" s="1"/>
      <c r="M49" s="1"/>
      <c r="N49" s="1"/>
      <c r="O49" s="1"/>
      <c r="P49" s="1"/>
      <c r="Q49" s="1"/>
      <c r="R49" s="1"/>
      <c r="S49" s="1"/>
      <c r="T49" s="1"/>
      <c r="U49" s="1"/>
      <c r="V49" s="1"/>
      <c r="W49" s="1"/>
      <c r="X49" s="1"/>
      <c r="Y49" s="1"/>
      <c r="Z49" s="1"/>
    </row>
    <row r="50" spans="1:26" ht="14.25" hidden="1" customHeight="1" x14ac:dyDescent="0.2">
      <c r="A50" s="69"/>
      <c r="B50" s="17">
        <v>40</v>
      </c>
      <c r="C50" s="6" t="s">
        <v>1455</v>
      </c>
      <c r="D50" s="6" t="s">
        <v>138</v>
      </c>
      <c r="E50" s="15" t="s">
        <v>139</v>
      </c>
      <c r="F50" s="15" t="s">
        <v>138</v>
      </c>
      <c r="G50" s="16" t="s">
        <v>35</v>
      </c>
      <c r="H50" s="16" t="s">
        <v>37</v>
      </c>
      <c r="I50" s="15" t="s">
        <v>51</v>
      </c>
      <c r="J50" s="15"/>
      <c r="K50" s="1"/>
      <c r="L50" s="1"/>
      <c r="M50" s="1"/>
      <c r="N50" s="1"/>
      <c r="O50" s="1"/>
      <c r="P50" s="1"/>
      <c r="Q50" s="1"/>
      <c r="R50" s="1"/>
      <c r="S50" s="1"/>
      <c r="T50" s="1"/>
      <c r="U50" s="1"/>
      <c r="V50" s="1"/>
      <c r="W50" s="1"/>
      <c r="X50" s="1"/>
      <c r="Y50" s="1"/>
      <c r="Z50" s="1"/>
    </row>
    <row r="51" spans="1:26" ht="14.25" hidden="1" customHeight="1" x14ac:dyDescent="0.2">
      <c r="A51" s="69"/>
      <c r="B51" s="17">
        <v>41</v>
      </c>
      <c r="C51" s="6" t="s">
        <v>1455</v>
      </c>
      <c r="D51" s="6" t="s">
        <v>140</v>
      </c>
      <c r="E51" s="15" t="s">
        <v>141</v>
      </c>
      <c r="F51" s="15" t="s">
        <v>140</v>
      </c>
      <c r="G51" s="16" t="s">
        <v>35</v>
      </c>
      <c r="H51" s="16" t="s">
        <v>37</v>
      </c>
      <c r="I51" s="15" t="s">
        <v>51</v>
      </c>
      <c r="J51" s="15"/>
      <c r="K51" s="1"/>
      <c r="L51" s="1"/>
      <c r="M51" s="1"/>
      <c r="N51" s="1"/>
      <c r="O51" s="1"/>
      <c r="P51" s="1"/>
      <c r="Q51" s="1"/>
      <c r="R51" s="1"/>
      <c r="S51" s="1"/>
      <c r="T51" s="1"/>
      <c r="U51" s="1"/>
      <c r="V51" s="1"/>
      <c r="W51" s="1"/>
      <c r="X51" s="1"/>
      <c r="Y51" s="1"/>
      <c r="Z51" s="1"/>
    </row>
    <row r="52" spans="1:26" ht="160" hidden="1" x14ac:dyDescent="0.2">
      <c r="A52" s="69"/>
      <c r="B52" s="17">
        <v>42</v>
      </c>
      <c r="C52" s="6" t="s">
        <v>1455</v>
      </c>
      <c r="D52" s="18" t="s">
        <v>1459</v>
      </c>
      <c r="E52" s="15" t="s">
        <v>143</v>
      </c>
      <c r="F52" s="15" t="s">
        <v>144</v>
      </c>
      <c r="G52" s="16" t="s">
        <v>57</v>
      </c>
      <c r="H52" s="16" t="s">
        <v>51</v>
      </c>
      <c r="I52" s="15" t="s">
        <v>51</v>
      </c>
      <c r="J52" s="15" t="s">
        <v>53</v>
      </c>
      <c r="K52" s="1"/>
      <c r="L52" s="1"/>
      <c r="M52" s="1"/>
      <c r="N52" s="1"/>
      <c r="O52" s="1"/>
      <c r="P52" s="1"/>
      <c r="Q52" s="1"/>
      <c r="R52" s="1"/>
      <c r="S52" s="1"/>
      <c r="T52" s="1"/>
      <c r="U52" s="1"/>
      <c r="V52" s="1"/>
      <c r="W52" s="1"/>
      <c r="X52" s="1"/>
      <c r="Y52" s="1"/>
      <c r="Z52" s="1"/>
    </row>
    <row r="53" spans="1:26" ht="14.25" hidden="1" customHeight="1" x14ac:dyDescent="0.2">
      <c r="A53" s="69"/>
      <c r="B53" s="17">
        <v>43</v>
      </c>
      <c r="C53" s="6" t="s">
        <v>1455</v>
      </c>
      <c r="D53" s="6" t="s">
        <v>145</v>
      </c>
      <c r="E53" s="15" t="s">
        <v>146</v>
      </c>
      <c r="F53" s="15" t="s">
        <v>145</v>
      </c>
      <c r="G53" s="16" t="s">
        <v>35</v>
      </c>
      <c r="H53" s="16" t="s">
        <v>37</v>
      </c>
      <c r="I53" s="15" t="s">
        <v>51</v>
      </c>
      <c r="J53" s="15"/>
      <c r="K53" s="1"/>
      <c r="L53" s="1"/>
      <c r="M53" s="1"/>
      <c r="N53" s="1"/>
      <c r="O53" s="1"/>
      <c r="P53" s="1"/>
      <c r="Q53" s="1"/>
      <c r="R53" s="1"/>
      <c r="S53" s="1"/>
      <c r="T53" s="1"/>
      <c r="U53" s="1"/>
      <c r="V53" s="1"/>
      <c r="W53" s="1"/>
      <c r="X53" s="1"/>
      <c r="Y53" s="1"/>
      <c r="Z53" s="1"/>
    </row>
    <row r="54" spans="1:26" ht="14.25" customHeight="1" x14ac:dyDescent="0.2">
      <c r="A54" s="69"/>
      <c r="B54" s="17">
        <v>44</v>
      </c>
      <c r="C54" s="6" t="s">
        <v>1455</v>
      </c>
      <c r="D54" s="18" t="s">
        <v>147</v>
      </c>
      <c r="E54" s="15" t="s">
        <v>148</v>
      </c>
      <c r="F54" s="15" t="s">
        <v>149</v>
      </c>
      <c r="G54" s="16" t="s">
        <v>65</v>
      </c>
      <c r="H54" s="16" t="s">
        <v>51</v>
      </c>
      <c r="I54" s="15" t="s">
        <v>51</v>
      </c>
      <c r="J54" s="15"/>
      <c r="K54" s="1"/>
      <c r="L54" s="1"/>
      <c r="M54" s="1"/>
      <c r="N54" s="1"/>
      <c r="O54" s="1"/>
      <c r="P54" s="1"/>
      <c r="Q54" s="1"/>
      <c r="R54" s="1"/>
      <c r="S54" s="1"/>
      <c r="T54" s="1"/>
      <c r="U54" s="1"/>
      <c r="V54" s="1"/>
      <c r="W54" s="1"/>
      <c r="X54" s="1"/>
      <c r="Y54" s="1"/>
      <c r="Z54" s="1"/>
    </row>
    <row r="55" spans="1:26" ht="14.25" hidden="1" customHeight="1" x14ac:dyDescent="0.2">
      <c r="A55" s="69"/>
      <c r="B55" s="17">
        <v>45</v>
      </c>
      <c r="C55" s="6" t="s">
        <v>1455</v>
      </c>
      <c r="D55" s="6" t="s">
        <v>150</v>
      </c>
      <c r="E55" s="15" t="s">
        <v>151</v>
      </c>
      <c r="F55" s="15" t="s">
        <v>150</v>
      </c>
      <c r="G55" s="16" t="s">
        <v>35</v>
      </c>
      <c r="H55" s="16" t="s">
        <v>37</v>
      </c>
      <c r="I55" s="15" t="s">
        <v>51</v>
      </c>
      <c r="J55" s="15" t="s">
        <v>152</v>
      </c>
      <c r="K55" s="1"/>
      <c r="L55" s="1"/>
      <c r="M55" s="1"/>
      <c r="N55" s="1"/>
      <c r="O55" s="1"/>
      <c r="P55" s="1"/>
      <c r="Q55" s="1"/>
      <c r="R55" s="1"/>
      <c r="S55" s="1"/>
      <c r="T55" s="1"/>
      <c r="U55" s="1"/>
      <c r="V55" s="1"/>
      <c r="W55" s="1"/>
      <c r="X55" s="1"/>
      <c r="Y55" s="1"/>
      <c r="Z55" s="1"/>
    </row>
    <row r="56" spans="1:26" ht="14.25" hidden="1" customHeight="1" x14ac:dyDescent="0.2">
      <c r="A56" s="69"/>
      <c r="B56" s="17">
        <v>46</v>
      </c>
      <c r="C56" s="6" t="s">
        <v>1455</v>
      </c>
      <c r="D56" s="6" t="s">
        <v>153</v>
      </c>
      <c r="E56" s="15" t="s">
        <v>154</v>
      </c>
      <c r="F56" s="15" t="s">
        <v>155</v>
      </c>
      <c r="G56" s="16" t="s">
        <v>35</v>
      </c>
      <c r="H56" s="16" t="s">
        <v>37</v>
      </c>
      <c r="I56" s="15" t="s">
        <v>51</v>
      </c>
      <c r="J56" s="15"/>
      <c r="K56" s="1"/>
      <c r="L56" s="1"/>
      <c r="M56" s="1"/>
      <c r="N56" s="1"/>
      <c r="O56" s="1"/>
      <c r="P56" s="1"/>
      <c r="Q56" s="1"/>
      <c r="R56" s="1"/>
      <c r="S56" s="1"/>
      <c r="T56" s="1"/>
      <c r="U56" s="1"/>
      <c r="V56" s="1"/>
      <c r="W56" s="1"/>
      <c r="X56" s="1"/>
      <c r="Y56" s="1"/>
      <c r="Z56" s="1"/>
    </row>
    <row r="57" spans="1:26" ht="14.25" hidden="1" customHeight="1" x14ac:dyDescent="0.2">
      <c r="A57" s="69"/>
      <c r="B57" s="17">
        <v>47</v>
      </c>
      <c r="C57" s="6" t="s">
        <v>1455</v>
      </c>
      <c r="D57" s="6" t="s">
        <v>156</v>
      </c>
      <c r="E57" s="15" t="s">
        <v>157</v>
      </c>
      <c r="F57" s="15" t="s">
        <v>156</v>
      </c>
      <c r="G57" s="16" t="s">
        <v>35</v>
      </c>
      <c r="H57" s="16" t="s">
        <v>51</v>
      </c>
      <c r="I57" s="15" t="s">
        <v>51</v>
      </c>
      <c r="J57" s="15" t="s">
        <v>53</v>
      </c>
      <c r="K57" s="1"/>
      <c r="L57" s="1"/>
      <c r="M57" s="1"/>
      <c r="N57" s="1"/>
      <c r="O57" s="1"/>
      <c r="P57" s="1"/>
      <c r="Q57" s="1"/>
      <c r="R57" s="1"/>
      <c r="S57" s="1"/>
      <c r="T57" s="1"/>
      <c r="U57" s="1"/>
      <c r="V57" s="1"/>
      <c r="W57" s="1"/>
      <c r="X57" s="1"/>
      <c r="Y57" s="1"/>
      <c r="Z57" s="1"/>
    </row>
    <row r="58" spans="1:26" ht="14.25" hidden="1" customHeight="1" x14ac:dyDescent="0.2">
      <c r="A58" s="69"/>
      <c r="B58" s="17">
        <v>48</v>
      </c>
      <c r="C58" s="6" t="s">
        <v>1455</v>
      </c>
      <c r="D58" s="18" t="s">
        <v>158</v>
      </c>
      <c r="E58" s="15" t="s">
        <v>159</v>
      </c>
      <c r="F58" s="15" t="s">
        <v>160</v>
      </c>
      <c r="G58" s="16" t="s">
        <v>57</v>
      </c>
      <c r="H58" s="16" t="s">
        <v>51</v>
      </c>
      <c r="I58" s="15" t="s">
        <v>51</v>
      </c>
      <c r="J58" s="15" t="s">
        <v>53</v>
      </c>
      <c r="K58" s="1"/>
      <c r="L58" s="1"/>
      <c r="M58" s="1"/>
      <c r="N58" s="1"/>
      <c r="O58" s="1"/>
      <c r="P58" s="1"/>
      <c r="Q58" s="1"/>
      <c r="R58" s="1"/>
      <c r="S58" s="1"/>
      <c r="T58" s="1"/>
      <c r="U58" s="1"/>
      <c r="V58" s="1"/>
      <c r="W58" s="1"/>
      <c r="X58" s="1"/>
      <c r="Y58" s="1"/>
      <c r="Z58" s="1"/>
    </row>
    <row r="59" spans="1:26" ht="14.25" customHeight="1" x14ac:dyDescent="0.2">
      <c r="A59" s="69"/>
      <c r="B59" s="17">
        <v>49</v>
      </c>
      <c r="C59" s="6" t="s">
        <v>1455</v>
      </c>
      <c r="D59" s="6" t="s">
        <v>161</v>
      </c>
      <c r="E59" s="15" t="s">
        <v>162</v>
      </c>
      <c r="F59" s="15" t="s">
        <v>163</v>
      </c>
      <c r="G59" s="16" t="s">
        <v>57</v>
      </c>
      <c r="H59" s="16" t="s">
        <v>51</v>
      </c>
      <c r="I59" s="15" t="s">
        <v>51</v>
      </c>
      <c r="J59" s="15"/>
      <c r="K59" s="1"/>
      <c r="L59" s="1"/>
      <c r="M59" s="1"/>
      <c r="N59" s="1"/>
      <c r="O59" s="1"/>
      <c r="P59" s="1"/>
      <c r="Q59" s="1"/>
      <c r="R59" s="1"/>
      <c r="S59" s="1"/>
      <c r="T59" s="1"/>
      <c r="U59" s="1"/>
      <c r="V59" s="1"/>
      <c r="W59" s="1"/>
      <c r="X59" s="1"/>
      <c r="Y59" s="1"/>
      <c r="Z59" s="1"/>
    </row>
    <row r="60" spans="1:26" ht="14.25" hidden="1" customHeight="1" x14ac:dyDescent="0.2">
      <c r="A60" s="69"/>
      <c r="B60" s="17">
        <v>50</v>
      </c>
      <c r="C60" s="6" t="s">
        <v>1455</v>
      </c>
      <c r="D60" s="6" t="s">
        <v>164</v>
      </c>
      <c r="E60" s="15" t="s">
        <v>165</v>
      </c>
      <c r="F60" s="15" t="s">
        <v>164</v>
      </c>
      <c r="G60" s="16" t="s">
        <v>35</v>
      </c>
      <c r="H60" s="16" t="s">
        <v>37</v>
      </c>
      <c r="I60" s="15" t="s">
        <v>51</v>
      </c>
      <c r="J60" s="15"/>
      <c r="K60" s="1"/>
      <c r="L60" s="1"/>
      <c r="M60" s="1"/>
      <c r="N60" s="1"/>
      <c r="O60" s="1"/>
      <c r="P60" s="1"/>
      <c r="Q60" s="1"/>
      <c r="R60" s="1"/>
      <c r="S60" s="1"/>
      <c r="T60" s="1"/>
      <c r="U60" s="1"/>
      <c r="V60" s="1"/>
      <c r="W60" s="1"/>
      <c r="X60" s="1"/>
      <c r="Y60" s="1"/>
      <c r="Z60" s="1"/>
    </row>
    <row r="61" spans="1:26" ht="14.25" hidden="1" customHeight="1" x14ac:dyDescent="0.2">
      <c r="A61" s="69"/>
      <c r="B61" s="17">
        <v>51</v>
      </c>
      <c r="C61" s="6" t="s">
        <v>1455</v>
      </c>
      <c r="D61" s="6" t="s">
        <v>166</v>
      </c>
      <c r="E61" s="15" t="s">
        <v>167</v>
      </c>
      <c r="F61" s="15" t="s">
        <v>168</v>
      </c>
      <c r="G61" s="16" t="s">
        <v>57</v>
      </c>
      <c r="H61" s="16" t="s">
        <v>51</v>
      </c>
      <c r="I61" s="15" t="s">
        <v>51</v>
      </c>
      <c r="J61" s="15" t="s">
        <v>53</v>
      </c>
      <c r="K61" s="1"/>
      <c r="L61" s="1"/>
      <c r="M61" s="1"/>
      <c r="N61" s="1"/>
      <c r="O61" s="1"/>
      <c r="P61" s="1"/>
      <c r="Q61" s="1"/>
      <c r="R61" s="1"/>
      <c r="S61" s="1"/>
      <c r="T61" s="1"/>
      <c r="U61" s="1"/>
      <c r="V61" s="1"/>
      <c r="W61" s="1"/>
      <c r="X61" s="1"/>
      <c r="Y61" s="1"/>
      <c r="Z61" s="1"/>
    </row>
    <row r="62" spans="1:26" ht="14.25" hidden="1" customHeight="1" x14ac:dyDescent="0.2">
      <c r="A62" s="69"/>
      <c r="B62" s="17">
        <v>52</v>
      </c>
      <c r="C62" s="6" t="s">
        <v>1455</v>
      </c>
      <c r="D62" s="6" t="s">
        <v>169</v>
      </c>
      <c r="E62" s="15" t="s">
        <v>170</v>
      </c>
      <c r="F62" s="15" t="s">
        <v>171</v>
      </c>
      <c r="G62" s="16" t="s">
        <v>35</v>
      </c>
      <c r="H62" s="16" t="s">
        <v>51</v>
      </c>
      <c r="I62" s="15" t="s">
        <v>51</v>
      </c>
      <c r="J62" s="15" t="s">
        <v>53</v>
      </c>
      <c r="K62" s="1"/>
      <c r="L62" s="1"/>
      <c r="M62" s="1"/>
      <c r="N62" s="1"/>
      <c r="O62" s="1"/>
      <c r="P62" s="1"/>
      <c r="Q62" s="1"/>
      <c r="R62" s="1"/>
      <c r="S62" s="1"/>
      <c r="T62" s="1"/>
      <c r="U62" s="1"/>
      <c r="V62" s="1"/>
      <c r="W62" s="1"/>
      <c r="X62" s="1"/>
      <c r="Y62" s="1"/>
      <c r="Z62" s="1"/>
    </row>
    <row r="63" spans="1:26" ht="14.25" hidden="1" customHeight="1" x14ac:dyDescent="0.2">
      <c r="A63" s="69"/>
      <c r="B63" s="17">
        <v>53</v>
      </c>
      <c r="C63" s="6" t="s">
        <v>1455</v>
      </c>
      <c r="D63" s="6" t="s">
        <v>172</v>
      </c>
      <c r="E63" s="15" t="s">
        <v>173</v>
      </c>
      <c r="F63" s="15" t="s">
        <v>174</v>
      </c>
      <c r="G63" s="16" t="s">
        <v>35</v>
      </c>
      <c r="H63" s="16" t="s">
        <v>37</v>
      </c>
      <c r="I63" s="15" t="s">
        <v>51</v>
      </c>
      <c r="J63" s="15" t="s">
        <v>152</v>
      </c>
      <c r="K63" s="1"/>
      <c r="L63" s="1"/>
      <c r="M63" s="1"/>
      <c r="N63" s="1"/>
      <c r="O63" s="1"/>
      <c r="P63" s="1"/>
      <c r="Q63" s="1"/>
      <c r="R63" s="1"/>
      <c r="S63" s="1"/>
      <c r="T63" s="1"/>
      <c r="U63" s="1"/>
      <c r="V63" s="1"/>
      <c r="W63" s="1"/>
      <c r="X63" s="1"/>
      <c r="Y63" s="1"/>
      <c r="Z63" s="1"/>
    </row>
    <row r="64" spans="1:26" ht="14.25" hidden="1" customHeight="1" x14ac:dyDescent="0.2">
      <c r="A64" s="69"/>
      <c r="B64" s="17">
        <v>54</v>
      </c>
      <c r="C64" s="6" t="s">
        <v>1455</v>
      </c>
      <c r="D64" s="6" t="s">
        <v>175</v>
      </c>
      <c r="E64" s="15" t="s">
        <v>176</v>
      </c>
      <c r="F64" s="15" t="s">
        <v>175</v>
      </c>
      <c r="G64" s="16" t="s">
        <v>35</v>
      </c>
      <c r="H64" s="16" t="s">
        <v>37</v>
      </c>
      <c r="I64" s="15" t="s">
        <v>51</v>
      </c>
      <c r="J64" s="15"/>
      <c r="K64" s="1"/>
      <c r="L64" s="1"/>
      <c r="M64" s="1"/>
      <c r="N64" s="1"/>
      <c r="O64" s="1"/>
      <c r="P64" s="1"/>
      <c r="Q64" s="1"/>
      <c r="R64" s="1"/>
      <c r="S64" s="1"/>
      <c r="T64" s="1"/>
      <c r="U64" s="1"/>
      <c r="V64" s="1"/>
      <c r="W64" s="1"/>
      <c r="X64" s="1"/>
      <c r="Y64" s="1"/>
      <c r="Z64" s="1"/>
    </row>
    <row r="65" spans="1:26" ht="14.25" hidden="1" customHeight="1" x14ac:dyDescent="0.2">
      <c r="A65" s="69"/>
      <c r="B65" s="17">
        <v>55</v>
      </c>
      <c r="C65" s="6" t="s">
        <v>1455</v>
      </c>
      <c r="D65" s="6" t="s">
        <v>177</v>
      </c>
      <c r="E65" s="15" t="s">
        <v>178</v>
      </c>
      <c r="F65" s="15" t="s">
        <v>177</v>
      </c>
      <c r="G65" s="16" t="s">
        <v>35</v>
      </c>
      <c r="H65" s="16" t="s">
        <v>37</v>
      </c>
      <c r="I65" s="15" t="s">
        <v>51</v>
      </c>
      <c r="J65" s="15"/>
      <c r="K65" s="1"/>
      <c r="L65" s="1"/>
      <c r="M65" s="1"/>
      <c r="N65" s="1"/>
      <c r="O65" s="1"/>
      <c r="P65" s="1"/>
      <c r="Q65" s="1"/>
      <c r="R65" s="1"/>
      <c r="S65" s="1"/>
      <c r="T65" s="1"/>
      <c r="U65" s="1"/>
      <c r="V65" s="1"/>
      <c r="W65" s="1"/>
      <c r="X65" s="1"/>
      <c r="Y65" s="1"/>
      <c r="Z65" s="1"/>
    </row>
    <row r="66" spans="1:26" ht="14.25" hidden="1" customHeight="1" x14ac:dyDescent="0.2">
      <c r="A66" s="69"/>
      <c r="B66" s="17">
        <v>56</v>
      </c>
      <c r="C66" s="6" t="s">
        <v>1455</v>
      </c>
      <c r="D66" s="6" t="s">
        <v>179</v>
      </c>
      <c r="E66" s="15" t="s">
        <v>180</v>
      </c>
      <c r="F66" s="15" t="s">
        <v>181</v>
      </c>
      <c r="G66" s="16" t="s">
        <v>35</v>
      </c>
      <c r="H66" s="16" t="s">
        <v>37</v>
      </c>
      <c r="I66" s="15" t="s">
        <v>51</v>
      </c>
      <c r="J66" s="15"/>
      <c r="K66" s="1"/>
      <c r="L66" s="1"/>
      <c r="M66" s="1"/>
      <c r="N66" s="1"/>
      <c r="O66" s="1"/>
      <c r="P66" s="1"/>
      <c r="Q66" s="1"/>
      <c r="R66" s="1"/>
      <c r="S66" s="1"/>
      <c r="T66" s="1"/>
      <c r="U66" s="1"/>
      <c r="V66" s="1"/>
      <c r="W66" s="1"/>
      <c r="X66" s="1"/>
      <c r="Y66" s="1"/>
      <c r="Z66" s="1"/>
    </row>
    <row r="67" spans="1:26" ht="14.25" hidden="1" customHeight="1" x14ac:dyDescent="0.2">
      <c r="A67" s="69"/>
      <c r="B67" s="17">
        <v>57</v>
      </c>
      <c r="C67" s="6" t="s">
        <v>1455</v>
      </c>
      <c r="D67" s="6" t="s">
        <v>182</v>
      </c>
      <c r="E67" s="15" t="s">
        <v>183</v>
      </c>
      <c r="F67" s="15" t="s">
        <v>182</v>
      </c>
      <c r="G67" s="16" t="s">
        <v>35</v>
      </c>
      <c r="H67" s="16" t="s">
        <v>37</v>
      </c>
      <c r="I67" s="15" t="s">
        <v>51</v>
      </c>
      <c r="J67" s="15" t="s">
        <v>114</v>
      </c>
      <c r="K67" s="1"/>
      <c r="L67" s="1"/>
      <c r="M67" s="1"/>
      <c r="N67" s="1"/>
      <c r="O67" s="1"/>
      <c r="P67" s="1"/>
      <c r="Q67" s="1"/>
      <c r="R67" s="1"/>
      <c r="S67" s="1"/>
      <c r="T67" s="1"/>
      <c r="U67" s="1"/>
      <c r="V67" s="1"/>
      <c r="W67" s="1"/>
      <c r="X67" s="1"/>
      <c r="Y67" s="1"/>
      <c r="Z67" s="1"/>
    </row>
    <row r="68" spans="1:26" ht="14.25" hidden="1" customHeight="1" x14ac:dyDescent="0.2">
      <c r="A68" s="69"/>
      <c r="B68" s="17">
        <v>58</v>
      </c>
      <c r="C68" s="6" t="s">
        <v>1455</v>
      </c>
      <c r="D68" s="6" t="s">
        <v>184</v>
      </c>
      <c r="E68" s="15" t="s">
        <v>185</v>
      </c>
      <c r="F68" s="15" t="s">
        <v>184</v>
      </c>
      <c r="G68" s="16" t="s">
        <v>35</v>
      </c>
      <c r="H68" s="16" t="s">
        <v>37</v>
      </c>
      <c r="I68" s="15" t="s">
        <v>51</v>
      </c>
      <c r="J68" s="15"/>
      <c r="K68" s="1"/>
      <c r="L68" s="1"/>
      <c r="M68" s="1"/>
      <c r="N68" s="1"/>
      <c r="O68" s="1"/>
      <c r="P68" s="1"/>
      <c r="Q68" s="1"/>
      <c r="R68" s="1"/>
      <c r="S68" s="1"/>
      <c r="T68" s="1"/>
      <c r="U68" s="1"/>
      <c r="V68" s="1"/>
      <c r="W68" s="1"/>
      <c r="X68" s="1"/>
      <c r="Y68" s="1"/>
      <c r="Z68" s="1"/>
    </row>
    <row r="69" spans="1:26" ht="14.25" hidden="1" customHeight="1" x14ac:dyDescent="0.2">
      <c r="A69" s="69"/>
      <c r="B69" s="17">
        <v>59</v>
      </c>
      <c r="C69" s="6" t="s">
        <v>1455</v>
      </c>
      <c r="D69" s="6" t="s">
        <v>186</v>
      </c>
      <c r="E69" s="15" t="s">
        <v>187</v>
      </c>
      <c r="F69" s="15" t="s">
        <v>186</v>
      </c>
      <c r="G69" s="16" t="s">
        <v>35</v>
      </c>
      <c r="H69" s="16" t="s">
        <v>37</v>
      </c>
      <c r="I69" s="15" t="s">
        <v>51</v>
      </c>
      <c r="J69" s="15"/>
      <c r="K69" s="1"/>
      <c r="L69" s="1"/>
      <c r="M69" s="1"/>
      <c r="N69" s="1"/>
      <c r="O69" s="1"/>
      <c r="P69" s="1"/>
      <c r="Q69" s="1"/>
      <c r="R69" s="1"/>
      <c r="S69" s="1"/>
      <c r="T69" s="1"/>
      <c r="U69" s="1"/>
      <c r="V69" s="1"/>
      <c r="W69" s="1"/>
      <c r="X69" s="1"/>
      <c r="Y69" s="1"/>
      <c r="Z69" s="1"/>
    </row>
    <row r="70" spans="1:26" ht="14.25" customHeight="1" x14ac:dyDescent="0.2">
      <c r="A70" s="69"/>
      <c r="B70" s="17">
        <v>60</v>
      </c>
      <c r="C70" s="6" t="s">
        <v>1455</v>
      </c>
      <c r="D70" s="6" t="s">
        <v>188</v>
      </c>
      <c r="E70" s="15" t="s">
        <v>189</v>
      </c>
      <c r="F70" s="15" t="s">
        <v>188</v>
      </c>
      <c r="G70" s="16" t="s">
        <v>35</v>
      </c>
      <c r="H70" s="16" t="s">
        <v>51</v>
      </c>
      <c r="I70" s="15" t="s">
        <v>51</v>
      </c>
      <c r="J70" s="15"/>
      <c r="K70" s="1"/>
      <c r="L70" s="1"/>
      <c r="M70" s="1"/>
      <c r="N70" s="1"/>
      <c r="O70" s="1"/>
      <c r="P70" s="1"/>
      <c r="Q70" s="1"/>
      <c r="R70" s="1"/>
      <c r="S70" s="1"/>
      <c r="T70" s="1"/>
      <c r="U70" s="1"/>
      <c r="V70" s="1"/>
      <c r="W70" s="1"/>
      <c r="X70" s="1"/>
      <c r="Y70" s="1"/>
      <c r="Z70" s="1"/>
    </row>
    <row r="71" spans="1:26" ht="14.25" customHeight="1" x14ac:dyDescent="0.2">
      <c r="A71" s="69"/>
      <c r="B71" s="17">
        <v>61</v>
      </c>
      <c r="C71" s="6" t="s">
        <v>1455</v>
      </c>
      <c r="D71" s="6" t="s">
        <v>190</v>
      </c>
      <c r="E71" s="15" t="s">
        <v>191</v>
      </c>
      <c r="F71" s="15" t="s">
        <v>192</v>
      </c>
      <c r="G71" s="16" t="s">
        <v>35</v>
      </c>
      <c r="H71" s="16" t="s">
        <v>51</v>
      </c>
      <c r="I71" s="15" t="s">
        <v>51</v>
      </c>
      <c r="J71" s="15"/>
      <c r="K71" s="1"/>
      <c r="L71" s="1"/>
      <c r="M71" s="1"/>
      <c r="N71" s="1"/>
      <c r="O71" s="1"/>
      <c r="P71" s="1"/>
      <c r="Q71" s="1"/>
      <c r="R71" s="1"/>
      <c r="S71" s="1"/>
      <c r="T71" s="1"/>
      <c r="U71" s="1"/>
      <c r="V71" s="1"/>
      <c r="W71" s="1"/>
      <c r="X71" s="1"/>
      <c r="Y71" s="1"/>
      <c r="Z71" s="1"/>
    </row>
    <row r="72" spans="1:26" ht="320" hidden="1" x14ac:dyDescent="0.2">
      <c r="A72" s="69"/>
      <c r="B72" s="17">
        <v>62</v>
      </c>
      <c r="C72" s="6" t="s">
        <v>1455</v>
      </c>
      <c r="D72" s="18" t="s">
        <v>193</v>
      </c>
      <c r="E72" s="15" t="s">
        <v>194</v>
      </c>
      <c r="F72" s="15" t="s">
        <v>195</v>
      </c>
      <c r="G72" s="16" t="s">
        <v>57</v>
      </c>
      <c r="H72" s="16" t="s">
        <v>51</v>
      </c>
      <c r="I72" s="15" t="s">
        <v>51</v>
      </c>
      <c r="J72" s="15" t="s">
        <v>53</v>
      </c>
      <c r="K72" s="1"/>
      <c r="L72" s="1"/>
      <c r="M72" s="1"/>
      <c r="N72" s="1"/>
      <c r="O72" s="1"/>
      <c r="P72" s="1"/>
      <c r="Q72" s="1"/>
      <c r="R72" s="1"/>
      <c r="S72" s="1"/>
      <c r="T72" s="1"/>
      <c r="U72" s="1"/>
      <c r="V72" s="1"/>
      <c r="W72" s="1"/>
      <c r="X72" s="1"/>
      <c r="Y72" s="1"/>
      <c r="Z72" s="1"/>
    </row>
    <row r="73" spans="1:26" ht="14.25" hidden="1" customHeight="1" x14ac:dyDescent="0.2">
      <c r="A73" s="69"/>
      <c r="B73" s="17">
        <v>63</v>
      </c>
      <c r="C73" s="6" t="s">
        <v>1455</v>
      </c>
      <c r="D73" s="6" t="s">
        <v>196</v>
      </c>
      <c r="E73" s="15" t="s">
        <v>197</v>
      </c>
      <c r="F73" s="15" t="s">
        <v>196</v>
      </c>
      <c r="G73" s="16" t="s">
        <v>65</v>
      </c>
      <c r="H73" s="16" t="s">
        <v>37</v>
      </c>
      <c r="I73" s="15" t="s">
        <v>51</v>
      </c>
      <c r="J73" s="15"/>
      <c r="K73" s="1"/>
      <c r="L73" s="1"/>
      <c r="M73" s="1"/>
      <c r="N73" s="1"/>
      <c r="O73" s="1"/>
      <c r="P73" s="1"/>
      <c r="Q73" s="1"/>
      <c r="R73" s="1"/>
      <c r="S73" s="1"/>
      <c r="T73" s="1"/>
      <c r="U73" s="1"/>
      <c r="V73" s="1"/>
      <c r="W73" s="1"/>
      <c r="X73" s="1"/>
      <c r="Y73" s="1"/>
      <c r="Z73" s="1"/>
    </row>
    <row r="74" spans="1:26" ht="14.25" hidden="1" customHeight="1" x14ac:dyDescent="0.2">
      <c r="A74" s="69"/>
      <c r="B74" s="17">
        <v>64</v>
      </c>
      <c r="C74" s="6" t="s">
        <v>1455</v>
      </c>
      <c r="D74" s="6" t="s">
        <v>198</v>
      </c>
      <c r="E74" s="15" t="s">
        <v>199</v>
      </c>
      <c r="F74" s="15" t="s">
        <v>198</v>
      </c>
      <c r="G74" s="16" t="s">
        <v>65</v>
      </c>
      <c r="H74" s="16" t="s">
        <v>37</v>
      </c>
      <c r="I74" s="15" t="s">
        <v>51</v>
      </c>
      <c r="J74" s="15"/>
      <c r="K74" s="1"/>
      <c r="L74" s="1"/>
      <c r="M74" s="1"/>
      <c r="N74" s="1"/>
      <c r="O74" s="1"/>
      <c r="P74" s="1"/>
      <c r="Q74" s="1"/>
      <c r="R74" s="1"/>
      <c r="S74" s="1"/>
      <c r="T74" s="1"/>
      <c r="U74" s="1"/>
      <c r="V74" s="1"/>
      <c r="W74" s="1"/>
      <c r="X74" s="1"/>
      <c r="Y74" s="1"/>
      <c r="Z74" s="1"/>
    </row>
    <row r="75" spans="1:26" ht="32" x14ac:dyDescent="0.2">
      <c r="A75" s="69"/>
      <c r="B75" s="17">
        <v>65</v>
      </c>
      <c r="C75" s="6" t="s">
        <v>1455</v>
      </c>
      <c r="D75" s="18" t="s">
        <v>200</v>
      </c>
      <c r="E75" s="15" t="s">
        <v>201</v>
      </c>
      <c r="F75" s="15" t="s">
        <v>202</v>
      </c>
      <c r="G75" s="16" t="s">
        <v>57</v>
      </c>
      <c r="H75" s="16" t="s">
        <v>51</v>
      </c>
      <c r="I75" s="15" t="s">
        <v>51</v>
      </c>
      <c r="J75" s="15"/>
      <c r="K75" s="1"/>
      <c r="L75" s="1"/>
      <c r="M75" s="1"/>
      <c r="N75" s="1"/>
      <c r="O75" s="1"/>
      <c r="P75" s="1"/>
      <c r="Q75" s="1"/>
      <c r="R75" s="1"/>
      <c r="S75" s="1"/>
      <c r="T75" s="1"/>
      <c r="U75" s="1"/>
      <c r="V75" s="1"/>
      <c r="W75" s="1"/>
      <c r="X75" s="1"/>
      <c r="Y75" s="1"/>
      <c r="Z75" s="1"/>
    </row>
    <row r="76" spans="1:26" ht="14.25" hidden="1" customHeight="1" x14ac:dyDescent="0.2">
      <c r="A76" s="69"/>
      <c r="B76" s="17">
        <v>66</v>
      </c>
      <c r="C76" s="6" t="s">
        <v>1455</v>
      </c>
      <c r="D76" s="6" t="s">
        <v>203</v>
      </c>
      <c r="E76" s="15" t="s">
        <v>204</v>
      </c>
      <c r="F76" s="15" t="s">
        <v>205</v>
      </c>
      <c r="G76" s="16" t="s">
        <v>65</v>
      </c>
      <c r="H76" s="16" t="s">
        <v>37</v>
      </c>
      <c r="I76" s="15" t="s">
        <v>51</v>
      </c>
      <c r="J76" s="15"/>
      <c r="K76" s="1"/>
      <c r="L76" s="1"/>
      <c r="M76" s="1"/>
      <c r="N76" s="1"/>
      <c r="O76" s="1"/>
      <c r="P76" s="1"/>
      <c r="Q76" s="1"/>
      <c r="R76" s="1"/>
      <c r="S76" s="1"/>
      <c r="T76" s="1"/>
      <c r="U76" s="1"/>
      <c r="V76" s="1"/>
      <c r="W76" s="1"/>
      <c r="X76" s="1"/>
      <c r="Y76" s="1"/>
      <c r="Z76" s="1"/>
    </row>
    <row r="77" spans="1:26" ht="32" hidden="1" x14ac:dyDescent="0.2">
      <c r="A77" s="69"/>
      <c r="B77" s="17">
        <v>67</v>
      </c>
      <c r="C77" s="6" t="s">
        <v>1455</v>
      </c>
      <c r="D77" s="18" t="s">
        <v>206</v>
      </c>
      <c r="E77" s="15" t="s">
        <v>207</v>
      </c>
      <c r="F77" s="15" t="s">
        <v>208</v>
      </c>
      <c r="G77" s="16" t="s">
        <v>35</v>
      </c>
      <c r="H77" s="16" t="s">
        <v>51</v>
      </c>
      <c r="I77" s="15" t="s">
        <v>51</v>
      </c>
      <c r="J77" s="15" t="s">
        <v>53</v>
      </c>
      <c r="K77" s="1"/>
      <c r="L77" s="1"/>
      <c r="M77" s="1"/>
      <c r="N77" s="1"/>
      <c r="O77" s="1"/>
      <c r="P77" s="1"/>
      <c r="Q77" s="1"/>
      <c r="R77" s="1"/>
      <c r="S77" s="1"/>
      <c r="T77" s="1"/>
      <c r="U77" s="1"/>
      <c r="V77" s="1"/>
      <c r="W77" s="1"/>
      <c r="X77" s="1"/>
      <c r="Y77" s="1"/>
      <c r="Z77" s="1"/>
    </row>
    <row r="78" spans="1:26" ht="14.25" hidden="1" customHeight="1" x14ac:dyDescent="0.2">
      <c r="A78" s="69"/>
      <c r="B78" s="17">
        <v>68</v>
      </c>
      <c r="C78" s="6" t="s">
        <v>1455</v>
      </c>
      <c r="D78" s="6" t="s">
        <v>209</v>
      </c>
      <c r="E78" s="15" t="s">
        <v>210</v>
      </c>
      <c r="F78" s="15" t="s">
        <v>209</v>
      </c>
      <c r="G78" s="16" t="s">
        <v>65</v>
      </c>
      <c r="H78" s="16" t="s">
        <v>37</v>
      </c>
      <c r="I78" s="15" t="s">
        <v>51</v>
      </c>
      <c r="J78" s="15"/>
      <c r="K78" s="1"/>
      <c r="L78" s="1"/>
      <c r="M78" s="1"/>
      <c r="N78" s="1"/>
      <c r="O78" s="1"/>
      <c r="P78" s="1"/>
      <c r="Q78" s="1"/>
      <c r="R78" s="1"/>
      <c r="S78" s="1"/>
      <c r="T78" s="1"/>
      <c r="U78" s="1"/>
      <c r="V78" s="1"/>
      <c r="W78" s="1"/>
      <c r="X78" s="1"/>
      <c r="Y78" s="1"/>
      <c r="Z78" s="1"/>
    </row>
    <row r="79" spans="1:26" ht="14.25" hidden="1" customHeight="1" x14ac:dyDescent="0.2">
      <c r="A79" s="69"/>
      <c r="B79" s="17">
        <v>69</v>
      </c>
      <c r="C79" s="6" t="s">
        <v>1455</v>
      </c>
      <c r="D79" s="6" t="s">
        <v>211</v>
      </c>
      <c r="E79" s="15" t="s">
        <v>212</v>
      </c>
      <c r="F79" s="15" t="s">
        <v>213</v>
      </c>
      <c r="G79" s="16" t="s">
        <v>65</v>
      </c>
      <c r="H79" s="16" t="s">
        <v>37</v>
      </c>
      <c r="I79" s="15" t="s">
        <v>51</v>
      </c>
      <c r="J79" s="15"/>
      <c r="K79" s="1"/>
      <c r="L79" s="1"/>
      <c r="M79" s="1"/>
      <c r="N79" s="1"/>
      <c r="O79" s="1"/>
      <c r="P79" s="1"/>
      <c r="Q79" s="1"/>
      <c r="R79" s="1"/>
      <c r="S79" s="1"/>
      <c r="T79" s="1"/>
      <c r="U79" s="1"/>
      <c r="V79" s="1"/>
      <c r="W79" s="1"/>
      <c r="X79" s="1"/>
      <c r="Y79" s="1"/>
      <c r="Z79" s="1"/>
    </row>
    <row r="80" spans="1:26" ht="14.25" customHeight="1" x14ac:dyDescent="0.2">
      <c r="A80" s="69"/>
      <c r="B80" s="17">
        <v>70</v>
      </c>
      <c r="C80" s="6" t="s">
        <v>1455</v>
      </c>
      <c r="D80" s="18" t="s">
        <v>214</v>
      </c>
      <c r="E80" s="15" t="s">
        <v>215</v>
      </c>
      <c r="F80" s="15" t="s">
        <v>216</v>
      </c>
      <c r="G80" s="16" t="s">
        <v>35</v>
      </c>
      <c r="H80" s="16" t="s">
        <v>51</v>
      </c>
      <c r="I80" s="15" t="s">
        <v>51</v>
      </c>
      <c r="J80" s="15"/>
      <c r="K80" s="1"/>
      <c r="L80" s="1"/>
      <c r="M80" s="1"/>
      <c r="N80" s="1"/>
      <c r="O80" s="1"/>
      <c r="P80" s="1"/>
      <c r="Q80" s="1"/>
      <c r="R80" s="1"/>
      <c r="S80" s="1"/>
      <c r="T80" s="1"/>
      <c r="U80" s="1"/>
      <c r="V80" s="1"/>
      <c r="W80" s="1"/>
      <c r="X80" s="1"/>
      <c r="Y80" s="1"/>
      <c r="Z80" s="1"/>
    </row>
    <row r="81" spans="1:26" ht="14.25" hidden="1" customHeight="1" x14ac:dyDescent="0.2">
      <c r="A81" s="69"/>
      <c r="B81" s="17">
        <v>71</v>
      </c>
      <c r="C81" s="6" t="s">
        <v>1455</v>
      </c>
      <c r="D81" s="6" t="s">
        <v>217</v>
      </c>
      <c r="E81" s="15" t="s">
        <v>218</v>
      </c>
      <c r="F81" s="15" t="s">
        <v>217</v>
      </c>
      <c r="G81" s="16" t="s">
        <v>65</v>
      </c>
      <c r="H81" s="16" t="s">
        <v>37</v>
      </c>
      <c r="I81" s="15" t="s">
        <v>51</v>
      </c>
      <c r="J81" s="15"/>
      <c r="K81" s="1"/>
      <c r="L81" s="1"/>
      <c r="M81" s="1"/>
      <c r="N81" s="1"/>
      <c r="O81" s="1"/>
      <c r="P81" s="1"/>
      <c r="Q81" s="1"/>
      <c r="R81" s="1"/>
      <c r="S81" s="1"/>
      <c r="T81" s="1"/>
      <c r="U81" s="1"/>
      <c r="V81" s="1"/>
      <c r="W81" s="1"/>
      <c r="X81" s="1"/>
      <c r="Y81" s="1"/>
      <c r="Z81" s="1"/>
    </row>
    <row r="82" spans="1:26" ht="14.25" customHeight="1" x14ac:dyDescent="0.2">
      <c r="A82" s="69"/>
      <c r="B82" s="17">
        <v>72</v>
      </c>
      <c r="C82" s="6" t="s">
        <v>1455</v>
      </c>
      <c r="D82" s="18" t="s">
        <v>219</v>
      </c>
      <c r="E82" s="15" t="s">
        <v>220</v>
      </c>
      <c r="F82" s="15" t="s">
        <v>221</v>
      </c>
      <c r="G82" s="16" t="s">
        <v>57</v>
      </c>
      <c r="H82" s="16" t="s">
        <v>51</v>
      </c>
      <c r="I82" s="15" t="s">
        <v>51</v>
      </c>
      <c r="J82" s="15"/>
      <c r="K82" s="1"/>
      <c r="L82" s="1"/>
      <c r="M82" s="1"/>
      <c r="N82" s="1"/>
      <c r="O82" s="1"/>
      <c r="P82" s="1"/>
      <c r="Q82" s="1"/>
      <c r="R82" s="1"/>
      <c r="S82" s="1"/>
      <c r="T82" s="1"/>
      <c r="U82" s="1"/>
      <c r="V82" s="1"/>
      <c r="W82" s="1"/>
      <c r="X82" s="1"/>
      <c r="Y82" s="1"/>
      <c r="Z82" s="1"/>
    </row>
    <row r="83" spans="1:26" ht="14.25" hidden="1" customHeight="1" x14ac:dyDescent="0.2">
      <c r="A83" s="69"/>
      <c r="B83" s="17">
        <v>73</v>
      </c>
      <c r="C83" s="6" t="s">
        <v>1455</v>
      </c>
      <c r="D83" s="18" t="s">
        <v>222</v>
      </c>
      <c r="E83" s="15" t="s">
        <v>223</v>
      </c>
      <c r="F83" s="15" t="s">
        <v>224</v>
      </c>
      <c r="G83" s="16" t="s">
        <v>35</v>
      </c>
      <c r="H83" s="16" t="s">
        <v>51</v>
      </c>
      <c r="I83" s="15" t="s">
        <v>51</v>
      </c>
      <c r="J83" s="15" t="s">
        <v>53</v>
      </c>
      <c r="K83" s="1"/>
      <c r="L83" s="1"/>
      <c r="M83" s="1"/>
      <c r="N83" s="1"/>
      <c r="O83" s="1"/>
      <c r="P83" s="1"/>
      <c r="Q83" s="1"/>
      <c r="R83" s="1"/>
      <c r="S83" s="1"/>
      <c r="T83" s="1"/>
      <c r="U83" s="1"/>
      <c r="V83" s="1"/>
      <c r="W83" s="1"/>
      <c r="X83" s="1"/>
      <c r="Y83" s="1"/>
      <c r="Z83" s="1"/>
    </row>
    <row r="84" spans="1:26" ht="14.25" customHeight="1" x14ac:dyDescent="0.2">
      <c r="A84" s="69"/>
      <c r="B84" s="17">
        <v>74</v>
      </c>
      <c r="C84" s="6" t="s">
        <v>1455</v>
      </c>
      <c r="D84" s="18" t="s">
        <v>225</v>
      </c>
      <c r="E84" s="15" t="s">
        <v>226</v>
      </c>
      <c r="F84" s="15" t="s">
        <v>227</v>
      </c>
      <c r="G84" s="16" t="s">
        <v>35</v>
      </c>
      <c r="H84" s="16" t="s">
        <v>51</v>
      </c>
      <c r="I84" s="15" t="s">
        <v>51</v>
      </c>
      <c r="J84" s="15"/>
      <c r="K84" s="1"/>
      <c r="L84" s="1"/>
      <c r="M84" s="1"/>
      <c r="N84" s="1"/>
      <c r="O84" s="1"/>
      <c r="P84" s="1"/>
      <c r="Q84" s="1"/>
      <c r="R84" s="1"/>
      <c r="S84" s="1"/>
      <c r="T84" s="1"/>
      <c r="U84" s="1"/>
      <c r="V84" s="1"/>
      <c r="W84" s="1"/>
      <c r="X84" s="1"/>
      <c r="Y84" s="1"/>
      <c r="Z84" s="1"/>
    </row>
    <row r="85" spans="1:26" ht="48" x14ac:dyDescent="0.2">
      <c r="A85" s="69"/>
      <c r="B85" s="17">
        <v>75</v>
      </c>
      <c r="C85" s="6" t="s">
        <v>1455</v>
      </c>
      <c r="D85" s="18" t="s">
        <v>228</v>
      </c>
      <c r="E85" s="15" t="s">
        <v>229</v>
      </c>
      <c r="F85" s="15" t="s">
        <v>230</v>
      </c>
      <c r="G85" s="16" t="s">
        <v>35</v>
      </c>
      <c r="H85" s="16" t="s">
        <v>51</v>
      </c>
      <c r="I85" s="15" t="s">
        <v>51</v>
      </c>
      <c r="J85" s="15"/>
      <c r="K85" s="1"/>
      <c r="L85" s="1"/>
      <c r="M85" s="1"/>
      <c r="N85" s="1"/>
      <c r="O85" s="1"/>
      <c r="P85" s="1"/>
      <c r="Q85" s="1"/>
      <c r="R85" s="1"/>
      <c r="S85" s="1"/>
      <c r="T85" s="1"/>
      <c r="U85" s="1"/>
      <c r="V85" s="1"/>
      <c r="W85" s="1"/>
      <c r="X85" s="1"/>
      <c r="Y85" s="1"/>
      <c r="Z85" s="1"/>
    </row>
    <row r="86" spans="1:26" ht="14.25" hidden="1" customHeight="1" x14ac:dyDescent="0.2">
      <c r="A86" s="69"/>
      <c r="B86" s="17">
        <v>76</v>
      </c>
      <c r="C86" s="6" t="s">
        <v>1455</v>
      </c>
      <c r="D86" s="6" t="s">
        <v>231</v>
      </c>
      <c r="E86" s="15" t="s">
        <v>232</v>
      </c>
      <c r="F86" s="15" t="s">
        <v>231</v>
      </c>
      <c r="G86" s="16" t="s">
        <v>65</v>
      </c>
      <c r="H86" s="16" t="s">
        <v>51</v>
      </c>
      <c r="I86" s="15" t="s">
        <v>51</v>
      </c>
      <c r="J86" s="15" t="s">
        <v>66</v>
      </c>
      <c r="K86" s="1"/>
      <c r="L86" s="1"/>
      <c r="M86" s="1"/>
      <c r="N86" s="1"/>
      <c r="O86" s="1"/>
      <c r="P86" s="1"/>
      <c r="Q86" s="1"/>
      <c r="R86" s="1"/>
      <c r="S86" s="1"/>
      <c r="T86" s="1"/>
      <c r="U86" s="1"/>
      <c r="V86" s="1"/>
      <c r="W86" s="1"/>
      <c r="X86" s="1"/>
      <c r="Y86" s="1"/>
      <c r="Z86" s="1"/>
    </row>
    <row r="87" spans="1:26" ht="14.25" hidden="1" customHeight="1" x14ac:dyDescent="0.2">
      <c r="A87" s="69"/>
      <c r="B87" s="17">
        <v>77</v>
      </c>
      <c r="C87" s="6" t="s">
        <v>1455</v>
      </c>
      <c r="D87" s="6" t="s">
        <v>233</v>
      </c>
      <c r="E87" s="15" t="s">
        <v>234</v>
      </c>
      <c r="F87" s="15" t="s">
        <v>235</v>
      </c>
      <c r="G87" s="16" t="s">
        <v>65</v>
      </c>
      <c r="H87" s="16" t="s">
        <v>37</v>
      </c>
      <c r="I87" s="15" t="s">
        <v>51</v>
      </c>
      <c r="J87" s="15"/>
      <c r="K87" s="1"/>
      <c r="L87" s="1"/>
      <c r="M87" s="1"/>
      <c r="N87" s="1"/>
      <c r="O87" s="1"/>
      <c r="P87" s="1"/>
      <c r="Q87" s="1"/>
      <c r="R87" s="1"/>
      <c r="S87" s="1"/>
      <c r="T87" s="1"/>
      <c r="U87" s="1"/>
      <c r="V87" s="1"/>
      <c r="W87" s="1"/>
      <c r="X87" s="1"/>
      <c r="Y87" s="1"/>
      <c r="Z87" s="1"/>
    </row>
    <row r="88" spans="1:26" ht="16" hidden="1" x14ac:dyDescent="0.2">
      <c r="A88" s="69"/>
      <c r="B88" s="17">
        <v>78</v>
      </c>
      <c r="C88" s="6" t="s">
        <v>1455</v>
      </c>
      <c r="D88" s="18" t="s">
        <v>236</v>
      </c>
      <c r="E88" s="15" t="s">
        <v>237</v>
      </c>
      <c r="F88" s="15" t="s">
        <v>238</v>
      </c>
      <c r="G88" s="16" t="s">
        <v>65</v>
      </c>
      <c r="H88" s="16" t="s">
        <v>37</v>
      </c>
      <c r="I88" s="15" t="s">
        <v>51</v>
      </c>
      <c r="J88" s="15"/>
      <c r="K88" s="1"/>
      <c r="L88" s="1"/>
      <c r="M88" s="1"/>
      <c r="N88" s="1"/>
      <c r="O88" s="1"/>
      <c r="P88" s="1"/>
      <c r="Q88" s="1"/>
      <c r="R88" s="1"/>
      <c r="S88" s="1"/>
      <c r="T88" s="1"/>
      <c r="U88" s="1"/>
      <c r="V88" s="1"/>
      <c r="W88" s="1"/>
      <c r="X88" s="1"/>
      <c r="Y88" s="1"/>
      <c r="Z88" s="1"/>
    </row>
    <row r="89" spans="1:26" ht="14.25" hidden="1" customHeight="1" x14ac:dyDescent="0.2">
      <c r="A89" s="69"/>
      <c r="B89" s="17">
        <v>79</v>
      </c>
      <c r="C89" s="6" t="s">
        <v>1455</v>
      </c>
      <c r="D89" s="6" t="s">
        <v>239</v>
      </c>
      <c r="E89" s="15" t="s">
        <v>240</v>
      </c>
      <c r="F89" s="15" t="s">
        <v>241</v>
      </c>
      <c r="G89" s="16" t="s">
        <v>65</v>
      </c>
      <c r="H89" s="16" t="s">
        <v>37</v>
      </c>
      <c r="I89" s="15" t="s">
        <v>51</v>
      </c>
      <c r="J89" s="15"/>
      <c r="K89" s="1"/>
      <c r="L89" s="1"/>
      <c r="M89" s="1"/>
      <c r="N89" s="1"/>
      <c r="O89" s="1"/>
      <c r="P89" s="1"/>
      <c r="Q89" s="1"/>
      <c r="R89" s="1"/>
      <c r="S89" s="1"/>
      <c r="T89" s="1"/>
      <c r="U89" s="1"/>
      <c r="V89" s="1"/>
      <c r="W89" s="1"/>
      <c r="X89" s="1"/>
      <c r="Y89" s="1"/>
      <c r="Z89" s="1"/>
    </row>
    <row r="90" spans="1:26" ht="14.25" hidden="1" customHeight="1" x14ac:dyDescent="0.2">
      <c r="A90" s="69"/>
      <c r="B90" s="17">
        <v>80</v>
      </c>
      <c r="C90" s="6" t="s">
        <v>1455</v>
      </c>
      <c r="D90" s="6" t="s">
        <v>242</v>
      </c>
      <c r="E90" s="15" t="s">
        <v>243</v>
      </c>
      <c r="F90" s="15" t="s">
        <v>242</v>
      </c>
      <c r="G90" s="16" t="s">
        <v>65</v>
      </c>
      <c r="H90" s="16" t="s">
        <v>37</v>
      </c>
      <c r="I90" s="15" t="s">
        <v>51</v>
      </c>
      <c r="J90" s="15"/>
      <c r="K90" s="1"/>
      <c r="L90" s="1"/>
      <c r="M90" s="1"/>
      <c r="N90" s="1"/>
      <c r="O90" s="1"/>
      <c r="P90" s="1"/>
      <c r="Q90" s="1"/>
      <c r="R90" s="1"/>
      <c r="S90" s="1"/>
      <c r="T90" s="1"/>
      <c r="U90" s="1"/>
      <c r="V90" s="1"/>
      <c r="W90" s="1"/>
      <c r="X90" s="1"/>
      <c r="Y90" s="1"/>
      <c r="Z90" s="1"/>
    </row>
    <row r="91" spans="1:26" ht="14.25" customHeight="1" x14ac:dyDescent="0.2">
      <c r="A91" s="69"/>
      <c r="B91" s="17">
        <v>81</v>
      </c>
      <c r="C91" s="6" t="s">
        <v>1455</v>
      </c>
      <c r="D91" s="6" t="s">
        <v>244</v>
      </c>
      <c r="E91" s="15" t="s">
        <v>245</v>
      </c>
      <c r="F91" s="15" t="s">
        <v>246</v>
      </c>
      <c r="G91" s="16" t="s">
        <v>57</v>
      </c>
      <c r="H91" s="16" t="s">
        <v>51</v>
      </c>
      <c r="I91" s="15" t="s">
        <v>51</v>
      </c>
      <c r="J91" s="15"/>
      <c r="K91" s="1"/>
      <c r="L91" s="1"/>
      <c r="M91" s="1"/>
      <c r="N91" s="1"/>
      <c r="O91" s="1"/>
      <c r="P91" s="1"/>
      <c r="Q91" s="1"/>
      <c r="R91" s="1"/>
      <c r="S91" s="1"/>
      <c r="T91" s="1"/>
      <c r="U91" s="1"/>
      <c r="V91" s="1"/>
      <c r="W91" s="1"/>
      <c r="X91" s="1"/>
      <c r="Y91" s="1"/>
      <c r="Z91" s="1"/>
    </row>
    <row r="92" spans="1:26" ht="14.25" customHeight="1" x14ac:dyDescent="0.2">
      <c r="A92" s="69"/>
      <c r="B92" s="17">
        <v>82</v>
      </c>
      <c r="C92" s="6" t="s">
        <v>1455</v>
      </c>
      <c r="D92" s="6" t="s">
        <v>247</v>
      </c>
      <c r="E92" s="15" t="s">
        <v>248</v>
      </c>
      <c r="F92" s="15" t="s">
        <v>249</v>
      </c>
      <c r="G92" s="16" t="s">
        <v>57</v>
      </c>
      <c r="H92" s="16" t="s">
        <v>51</v>
      </c>
      <c r="I92" s="15" t="s">
        <v>51</v>
      </c>
      <c r="J92" s="15"/>
      <c r="K92" s="1"/>
      <c r="L92" s="1"/>
      <c r="M92" s="1"/>
      <c r="N92" s="1"/>
      <c r="O92" s="1"/>
      <c r="P92" s="1"/>
      <c r="Q92" s="1"/>
      <c r="R92" s="1"/>
      <c r="S92" s="1"/>
      <c r="T92" s="1"/>
      <c r="U92" s="1"/>
      <c r="V92" s="1"/>
      <c r="W92" s="1"/>
      <c r="X92" s="1"/>
      <c r="Y92" s="1"/>
      <c r="Z92" s="1"/>
    </row>
    <row r="93" spans="1:26" ht="14.25" hidden="1" customHeight="1" x14ac:dyDescent="0.2">
      <c r="A93" s="69"/>
      <c r="B93" s="17">
        <v>83</v>
      </c>
      <c r="C93" s="6" t="s">
        <v>1455</v>
      </c>
      <c r="D93" s="6" t="s">
        <v>250</v>
      </c>
      <c r="E93" s="15" t="s">
        <v>251</v>
      </c>
      <c r="F93" s="15" t="s">
        <v>250</v>
      </c>
      <c r="G93" s="16" t="s">
        <v>65</v>
      </c>
      <c r="H93" s="16" t="s">
        <v>37</v>
      </c>
      <c r="I93" s="15" t="s">
        <v>51</v>
      </c>
      <c r="J93" s="15"/>
      <c r="K93" s="1"/>
      <c r="L93" s="1"/>
      <c r="M93" s="1"/>
      <c r="N93" s="1"/>
      <c r="O93" s="1"/>
      <c r="P93" s="1"/>
      <c r="Q93" s="1"/>
      <c r="R93" s="1"/>
      <c r="S93" s="1"/>
      <c r="T93" s="1"/>
      <c r="U93" s="1"/>
      <c r="V93" s="1"/>
      <c r="W93" s="1"/>
      <c r="X93" s="1"/>
      <c r="Y93" s="1"/>
      <c r="Z93" s="1"/>
    </row>
    <row r="94" spans="1:26" ht="14.25" hidden="1" customHeight="1" x14ac:dyDescent="0.2">
      <c r="A94" s="69"/>
      <c r="B94" s="17">
        <v>84</v>
      </c>
      <c r="C94" s="6" t="s">
        <v>1455</v>
      </c>
      <c r="D94" s="6" t="s">
        <v>252</v>
      </c>
      <c r="E94" s="15" t="s">
        <v>253</v>
      </c>
      <c r="F94" s="15" t="s">
        <v>252</v>
      </c>
      <c r="G94" s="16" t="s">
        <v>35</v>
      </c>
      <c r="H94" s="16" t="s">
        <v>37</v>
      </c>
      <c r="I94" s="15" t="s">
        <v>51</v>
      </c>
      <c r="J94" s="15"/>
      <c r="K94" s="1"/>
      <c r="L94" s="1"/>
      <c r="M94" s="1"/>
      <c r="N94" s="1"/>
      <c r="O94" s="1"/>
      <c r="P94" s="1"/>
      <c r="Q94" s="1"/>
      <c r="R94" s="1"/>
      <c r="S94" s="1"/>
      <c r="T94" s="1"/>
      <c r="U94" s="1"/>
      <c r="V94" s="1"/>
      <c r="W94" s="1"/>
      <c r="X94" s="1"/>
      <c r="Y94" s="1"/>
      <c r="Z94" s="1"/>
    </row>
    <row r="95" spans="1:26" ht="14.25" customHeight="1" x14ac:dyDescent="0.2">
      <c r="A95" s="69"/>
      <c r="B95" s="17">
        <v>85</v>
      </c>
      <c r="C95" s="6" t="s">
        <v>1455</v>
      </c>
      <c r="D95" s="18" t="s">
        <v>254</v>
      </c>
      <c r="E95" s="15" t="s">
        <v>255</v>
      </c>
      <c r="F95" s="15" t="s">
        <v>256</v>
      </c>
      <c r="G95" s="16" t="s">
        <v>57</v>
      </c>
      <c r="H95" s="16" t="s">
        <v>51</v>
      </c>
      <c r="I95" s="15" t="s">
        <v>51</v>
      </c>
      <c r="J95" s="15"/>
      <c r="K95" s="1"/>
      <c r="L95" s="1"/>
      <c r="M95" s="1"/>
      <c r="N95" s="1"/>
      <c r="O95" s="1"/>
      <c r="P95" s="1"/>
      <c r="Q95" s="1"/>
      <c r="R95" s="1"/>
      <c r="S95" s="1"/>
      <c r="T95" s="1"/>
      <c r="U95" s="1"/>
      <c r="V95" s="1"/>
      <c r="W95" s="1"/>
      <c r="X95" s="1"/>
      <c r="Y95" s="1"/>
      <c r="Z95" s="1"/>
    </row>
    <row r="96" spans="1:26" ht="14.25" customHeight="1" x14ac:dyDescent="0.2">
      <c r="A96" s="69"/>
      <c r="B96" s="17">
        <v>86</v>
      </c>
      <c r="C96" s="6" t="s">
        <v>1455</v>
      </c>
      <c r="D96" s="6" t="s">
        <v>258</v>
      </c>
      <c r="E96" s="15" t="s">
        <v>259</v>
      </c>
      <c r="F96" s="15" t="s">
        <v>260</v>
      </c>
      <c r="G96" s="16" t="s">
        <v>35</v>
      </c>
      <c r="H96" s="16" t="s">
        <v>51</v>
      </c>
      <c r="I96" s="15" t="s">
        <v>51</v>
      </c>
      <c r="J96" s="15"/>
      <c r="K96" s="1"/>
      <c r="L96" s="1"/>
      <c r="M96" s="1"/>
      <c r="N96" s="1"/>
      <c r="O96" s="1"/>
      <c r="P96" s="1"/>
      <c r="Q96" s="1"/>
      <c r="R96" s="1"/>
      <c r="S96" s="1"/>
      <c r="T96" s="1"/>
      <c r="U96" s="1"/>
      <c r="V96" s="1"/>
      <c r="W96" s="1"/>
      <c r="X96" s="1"/>
      <c r="Y96" s="1"/>
      <c r="Z96" s="1"/>
    </row>
    <row r="97" spans="1:26" ht="14.25" customHeight="1" x14ac:dyDescent="0.2">
      <c r="A97" s="69"/>
      <c r="B97" s="17">
        <v>87</v>
      </c>
      <c r="C97" s="6" t="s">
        <v>1455</v>
      </c>
      <c r="D97" s="6" t="s">
        <v>261</v>
      </c>
      <c r="E97" s="15" t="s">
        <v>262</v>
      </c>
      <c r="F97" s="15" t="s">
        <v>263</v>
      </c>
      <c r="G97" s="16" t="s">
        <v>35</v>
      </c>
      <c r="H97" s="16" t="s">
        <v>51</v>
      </c>
      <c r="I97" s="15" t="s">
        <v>51</v>
      </c>
      <c r="J97" s="15"/>
      <c r="K97" s="1"/>
      <c r="L97" s="1"/>
      <c r="M97" s="1"/>
      <c r="N97" s="1"/>
      <c r="O97" s="1"/>
      <c r="P97" s="1"/>
      <c r="Q97" s="1"/>
      <c r="R97" s="1"/>
      <c r="S97" s="1"/>
      <c r="T97" s="1"/>
      <c r="U97" s="1"/>
      <c r="V97" s="1"/>
      <c r="W97" s="1"/>
      <c r="X97" s="1"/>
      <c r="Y97" s="1"/>
      <c r="Z97" s="1"/>
    </row>
    <row r="98" spans="1:26" ht="14.25" customHeight="1" x14ac:dyDescent="0.2">
      <c r="A98" s="69"/>
      <c r="B98" s="17">
        <v>88</v>
      </c>
      <c r="C98" s="6" t="s">
        <v>1455</v>
      </c>
      <c r="D98" s="6" t="s">
        <v>264</v>
      </c>
      <c r="E98" s="15" t="s">
        <v>265</v>
      </c>
      <c r="F98" s="15" t="s">
        <v>266</v>
      </c>
      <c r="G98" s="16" t="s">
        <v>35</v>
      </c>
      <c r="H98" s="16" t="s">
        <v>51</v>
      </c>
      <c r="I98" s="15" t="s">
        <v>51</v>
      </c>
      <c r="J98" s="15"/>
      <c r="K98" s="1"/>
      <c r="L98" s="1"/>
      <c r="M98" s="1"/>
      <c r="N98" s="1"/>
      <c r="O98" s="1"/>
      <c r="P98" s="1"/>
      <c r="Q98" s="1"/>
      <c r="R98" s="1"/>
      <c r="S98" s="1"/>
      <c r="T98" s="1"/>
      <c r="U98" s="1"/>
      <c r="V98" s="1"/>
      <c r="W98" s="1"/>
      <c r="X98" s="1"/>
      <c r="Y98" s="1"/>
      <c r="Z98" s="1"/>
    </row>
    <row r="99" spans="1:26" ht="144" x14ac:dyDescent="0.2">
      <c r="A99" s="69"/>
      <c r="B99" s="17">
        <v>89</v>
      </c>
      <c r="C99" s="6" t="s">
        <v>1455</v>
      </c>
      <c r="D99" s="18" t="s">
        <v>267</v>
      </c>
      <c r="E99" s="15" t="s">
        <v>268</v>
      </c>
      <c r="F99" s="15" t="s">
        <v>269</v>
      </c>
      <c r="G99" s="16" t="s">
        <v>35</v>
      </c>
      <c r="H99" s="16" t="s">
        <v>51</v>
      </c>
      <c r="I99" s="15" t="s">
        <v>51</v>
      </c>
      <c r="J99" s="15"/>
      <c r="K99" s="1"/>
      <c r="L99" s="1"/>
      <c r="M99" s="1"/>
      <c r="N99" s="1"/>
      <c r="O99" s="1"/>
      <c r="P99" s="1"/>
      <c r="Q99" s="1"/>
      <c r="R99" s="1"/>
      <c r="S99" s="1"/>
      <c r="T99" s="1"/>
      <c r="U99" s="1"/>
      <c r="V99" s="1"/>
      <c r="W99" s="1"/>
      <c r="X99" s="1"/>
      <c r="Y99" s="1"/>
      <c r="Z99" s="1"/>
    </row>
    <row r="100" spans="1:26" ht="14.25" customHeight="1" x14ac:dyDescent="0.2">
      <c r="A100" s="69"/>
      <c r="B100" s="17">
        <v>90</v>
      </c>
      <c r="C100" s="6" t="s">
        <v>1455</v>
      </c>
      <c r="D100" s="6" t="s">
        <v>270</v>
      </c>
      <c r="E100" s="15" t="s">
        <v>271</v>
      </c>
      <c r="F100" s="15" t="s">
        <v>270</v>
      </c>
      <c r="G100" s="16" t="s">
        <v>35</v>
      </c>
      <c r="H100" s="16" t="s">
        <v>51</v>
      </c>
      <c r="I100" s="15" t="s">
        <v>51</v>
      </c>
      <c r="J100" s="15"/>
      <c r="K100" s="1"/>
      <c r="L100" s="1"/>
      <c r="M100" s="1"/>
      <c r="N100" s="1"/>
      <c r="O100" s="1"/>
      <c r="P100" s="1"/>
      <c r="Q100" s="1"/>
      <c r="R100" s="1"/>
      <c r="S100" s="1"/>
      <c r="T100" s="1"/>
      <c r="U100" s="1"/>
      <c r="V100" s="1"/>
      <c r="W100" s="1"/>
      <c r="X100" s="1"/>
      <c r="Y100" s="1"/>
      <c r="Z100" s="1"/>
    </row>
    <row r="101" spans="1:26" ht="14.25" hidden="1" customHeight="1" x14ac:dyDescent="0.2">
      <c r="A101" s="69"/>
      <c r="B101" s="17">
        <v>91</v>
      </c>
      <c r="C101" s="6" t="s">
        <v>1455</v>
      </c>
      <c r="D101" s="6" t="s">
        <v>272</v>
      </c>
      <c r="E101" s="15" t="s">
        <v>273</v>
      </c>
      <c r="F101" s="15" t="s">
        <v>274</v>
      </c>
      <c r="G101" s="16" t="s">
        <v>65</v>
      </c>
      <c r="H101" s="16" t="s">
        <v>37</v>
      </c>
      <c r="I101" s="15" t="s">
        <v>51</v>
      </c>
      <c r="J101" s="15"/>
      <c r="K101" s="1"/>
      <c r="L101" s="1"/>
      <c r="M101" s="1"/>
      <c r="N101" s="1"/>
      <c r="O101" s="1"/>
      <c r="P101" s="1"/>
      <c r="Q101" s="1"/>
      <c r="R101" s="1"/>
      <c r="S101" s="1"/>
      <c r="T101" s="1"/>
      <c r="U101" s="1"/>
      <c r="V101" s="1"/>
      <c r="W101" s="1"/>
      <c r="X101" s="1"/>
      <c r="Y101" s="1"/>
      <c r="Z101" s="1"/>
    </row>
    <row r="102" spans="1:26" ht="14.25" customHeight="1" x14ac:dyDescent="0.2">
      <c r="A102" s="69"/>
      <c r="B102" s="17">
        <v>92</v>
      </c>
      <c r="C102" s="6" t="s">
        <v>1455</v>
      </c>
      <c r="D102" s="6" t="s">
        <v>275</v>
      </c>
      <c r="E102" s="15" t="s">
        <v>276</v>
      </c>
      <c r="F102" s="15" t="s">
        <v>277</v>
      </c>
      <c r="G102" s="16" t="s">
        <v>35</v>
      </c>
      <c r="H102" s="16" t="s">
        <v>51</v>
      </c>
      <c r="I102" s="15" t="s">
        <v>51</v>
      </c>
      <c r="J102" s="15"/>
      <c r="K102" s="1"/>
      <c r="L102" s="1"/>
      <c r="M102" s="1"/>
      <c r="N102" s="1"/>
      <c r="O102" s="1"/>
      <c r="P102" s="1"/>
      <c r="Q102" s="1"/>
      <c r="R102" s="1"/>
      <c r="S102" s="1"/>
      <c r="T102" s="1"/>
      <c r="U102" s="1"/>
      <c r="V102" s="1"/>
      <c r="W102" s="1"/>
      <c r="X102" s="1"/>
      <c r="Y102" s="1"/>
      <c r="Z102" s="1"/>
    </row>
    <row r="103" spans="1:26" ht="14.25" hidden="1" customHeight="1" x14ac:dyDescent="0.2">
      <c r="A103" s="69"/>
      <c r="B103" s="17">
        <v>93</v>
      </c>
      <c r="C103" s="6" t="s">
        <v>1455</v>
      </c>
      <c r="D103" s="6" t="s">
        <v>278</v>
      </c>
      <c r="E103" s="15" t="s">
        <v>279</v>
      </c>
      <c r="F103" s="15" t="s">
        <v>278</v>
      </c>
      <c r="G103" s="16" t="s">
        <v>65</v>
      </c>
      <c r="H103" s="16" t="s">
        <v>37</v>
      </c>
      <c r="I103" s="15" t="s">
        <v>51</v>
      </c>
      <c r="J103" s="15"/>
      <c r="K103" s="1"/>
      <c r="L103" s="1"/>
      <c r="M103" s="1"/>
      <c r="N103" s="1"/>
      <c r="O103" s="1"/>
      <c r="P103" s="1"/>
      <c r="Q103" s="1"/>
      <c r="R103" s="1"/>
      <c r="S103" s="1"/>
      <c r="T103" s="1"/>
      <c r="U103" s="1"/>
      <c r="V103" s="1"/>
      <c r="W103" s="1"/>
      <c r="X103" s="1"/>
      <c r="Y103" s="1"/>
      <c r="Z103" s="1"/>
    </row>
    <row r="104" spans="1:26" ht="14.25" hidden="1" customHeight="1" x14ac:dyDescent="0.2">
      <c r="A104" s="69"/>
      <c r="B104" s="17">
        <v>94</v>
      </c>
      <c r="C104" s="6" t="s">
        <v>1455</v>
      </c>
      <c r="D104" s="6" t="s">
        <v>280</v>
      </c>
      <c r="E104" s="15" t="s">
        <v>281</v>
      </c>
      <c r="F104" s="15" t="s">
        <v>280</v>
      </c>
      <c r="G104" s="16" t="s">
        <v>65</v>
      </c>
      <c r="H104" s="16" t="s">
        <v>37</v>
      </c>
      <c r="I104" s="15" t="s">
        <v>51</v>
      </c>
      <c r="J104" s="15"/>
      <c r="K104" s="1"/>
      <c r="L104" s="1"/>
      <c r="M104" s="1"/>
      <c r="N104" s="1"/>
      <c r="O104" s="1"/>
      <c r="P104" s="1"/>
      <c r="Q104" s="1"/>
      <c r="R104" s="1"/>
      <c r="S104" s="1"/>
      <c r="T104" s="1"/>
      <c r="U104" s="1"/>
      <c r="V104" s="1"/>
      <c r="W104" s="1"/>
      <c r="X104" s="1"/>
      <c r="Y104" s="1"/>
      <c r="Z104" s="1"/>
    </row>
    <row r="105" spans="1:26" ht="14.25" hidden="1" customHeight="1" x14ac:dyDescent="0.2">
      <c r="A105" s="69"/>
      <c r="B105" s="17">
        <v>95</v>
      </c>
      <c r="C105" s="6" t="s">
        <v>1455</v>
      </c>
      <c r="D105" s="6" t="s">
        <v>282</v>
      </c>
      <c r="E105" s="15" t="s">
        <v>283</v>
      </c>
      <c r="F105" s="15" t="s">
        <v>282</v>
      </c>
      <c r="G105" s="16" t="s">
        <v>65</v>
      </c>
      <c r="H105" s="16" t="s">
        <v>37</v>
      </c>
      <c r="I105" s="15" t="s">
        <v>51</v>
      </c>
      <c r="J105" s="15"/>
      <c r="K105" s="1"/>
      <c r="L105" s="1"/>
      <c r="M105" s="1"/>
      <c r="N105" s="1"/>
      <c r="O105" s="1"/>
      <c r="P105" s="1"/>
      <c r="Q105" s="1"/>
      <c r="R105" s="1"/>
      <c r="S105" s="1"/>
      <c r="T105" s="1"/>
      <c r="U105" s="1"/>
      <c r="V105" s="1"/>
      <c r="W105" s="1"/>
      <c r="X105" s="1"/>
      <c r="Y105" s="1"/>
      <c r="Z105" s="1"/>
    </row>
    <row r="106" spans="1:26" ht="14.25" hidden="1" customHeight="1" x14ac:dyDescent="0.2">
      <c r="A106" s="69"/>
      <c r="B106" s="17">
        <v>96</v>
      </c>
      <c r="C106" s="6" t="s">
        <v>1455</v>
      </c>
      <c r="D106" s="6" t="s">
        <v>284</v>
      </c>
      <c r="E106" s="15" t="s">
        <v>285</v>
      </c>
      <c r="F106" s="15" t="s">
        <v>284</v>
      </c>
      <c r="G106" s="16" t="s">
        <v>65</v>
      </c>
      <c r="H106" s="16" t="s">
        <v>37</v>
      </c>
      <c r="I106" s="15" t="s">
        <v>51</v>
      </c>
      <c r="J106" s="15"/>
      <c r="K106" s="1"/>
      <c r="L106" s="1"/>
      <c r="M106" s="1"/>
      <c r="N106" s="1"/>
      <c r="O106" s="1"/>
      <c r="P106" s="1"/>
      <c r="Q106" s="1"/>
      <c r="R106" s="1"/>
      <c r="S106" s="1"/>
      <c r="T106" s="1"/>
      <c r="U106" s="1"/>
      <c r="V106" s="1"/>
      <c r="W106" s="1"/>
      <c r="X106" s="1"/>
      <c r="Y106" s="1"/>
      <c r="Z106" s="1"/>
    </row>
    <row r="107" spans="1:26" ht="64" x14ac:dyDescent="0.2">
      <c r="A107" s="69"/>
      <c r="B107" s="17">
        <v>97</v>
      </c>
      <c r="C107" s="6" t="s">
        <v>1455</v>
      </c>
      <c r="D107" s="18" t="s">
        <v>286</v>
      </c>
      <c r="E107" s="15" t="s">
        <v>287</v>
      </c>
      <c r="F107" s="15" t="s">
        <v>288</v>
      </c>
      <c r="G107" s="16" t="s">
        <v>57</v>
      </c>
      <c r="H107" s="16" t="s">
        <v>51</v>
      </c>
      <c r="I107" s="15" t="s">
        <v>51</v>
      </c>
      <c r="J107" s="15"/>
      <c r="K107" s="1"/>
      <c r="L107" s="1"/>
      <c r="M107" s="1"/>
      <c r="N107" s="1"/>
      <c r="O107" s="1"/>
      <c r="P107" s="1"/>
      <c r="Q107" s="1"/>
      <c r="R107" s="1"/>
      <c r="S107" s="1"/>
      <c r="T107" s="1"/>
      <c r="U107" s="1"/>
      <c r="V107" s="1"/>
      <c r="W107" s="1"/>
      <c r="X107" s="1"/>
      <c r="Y107" s="1"/>
      <c r="Z107" s="1"/>
    </row>
    <row r="108" spans="1:26" ht="14.25" hidden="1" customHeight="1" x14ac:dyDescent="0.2">
      <c r="A108" s="69"/>
      <c r="B108" s="17">
        <v>98</v>
      </c>
      <c r="C108" s="6" t="s">
        <v>1455</v>
      </c>
      <c r="D108" s="6" t="s">
        <v>289</v>
      </c>
      <c r="E108" s="15" t="s">
        <v>290</v>
      </c>
      <c r="F108" s="15" t="s">
        <v>289</v>
      </c>
      <c r="G108" s="16" t="s">
        <v>65</v>
      </c>
      <c r="H108" s="16" t="s">
        <v>51</v>
      </c>
      <c r="I108" s="15" t="s">
        <v>51</v>
      </c>
      <c r="J108" s="15" t="s">
        <v>66</v>
      </c>
      <c r="K108" s="1"/>
      <c r="L108" s="1"/>
      <c r="M108" s="1"/>
      <c r="N108" s="1"/>
      <c r="O108" s="1"/>
      <c r="P108" s="1"/>
      <c r="Q108" s="1"/>
      <c r="R108" s="1"/>
      <c r="S108" s="1"/>
      <c r="T108" s="1"/>
      <c r="U108" s="1"/>
      <c r="V108" s="1"/>
      <c r="W108" s="1"/>
      <c r="X108" s="1"/>
      <c r="Y108" s="1"/>
      <c r="Z108" s="1"/>
    </row>
    <row r="109" spans="1:26" ht="14.25" customHeight="1" x14ac:dyDescent="0.2">
      <c r="A109" s="69"/>
      <c r="B109" s="17">
        <v>99</v>
      </c>
      <c r="C109" s="6" t="s">
        <v>1455</v>
      </c>
      <c r="D109" s="6" t="s">
        <v>291</v>
      </c>
      <c r="E109" s="15" t="s">
        <v>292</v>
      </c>
      <c r="F109" s="15" t="s">
        <v>293</v>
      </c>
      <c r="G109" s="16" t="s">
        <v>57</v>
      </c>
      <c r="H109" s="16" t="s">
        <v>51</v>
      </c>
      <c r="I109" s="15" t="s">
        <v>51</v>
      </c>
      <c r="J109" s="15"/>
      <c r="K109" s="1"/>
      <c r="L109" s="1"/>
      <c r="M109" s="1"/>
      <c r="N109" s="1"/>
      <c r="O109" s="1"/>
      <c r="P109" s="1"/>
      <c r="Q109" s="1"/>
      <c r="R109" s="1"/>
      <c r="S109" s="1"/>
      <c r="T109" s="1"/>
      <c r="U109" s="1"/>
      <c r="V109" s="1"/>
      <c r="W109" s="1"/>
      <c r="X109" s="1"/>
      <c r="Y109" s="1"/>
      <c r="Z109" s="1"/>
    </row>
    <row r="110" spans="1:26" ht="14.25" hidden="1" customHeight="1" x14ac:dyDescent="0.2">
      <c r="A110" s="69"/>
      <c r="B110" s="17">
        <v>100</v>
      </c>
      <c r="C110" s="6" t="s">
        <v>1455</v>
      </c>
      <c r="D110" s="6" t="s">
        <v>294</v>
      </c>
      <c r="E110" s="15" t="s">
        <v>295</v>
      </c>
      <c r="F110" s="15" t="s">
        <v>294</v>
      </c>
      <c r="G110" s="16" t="s">
        <v>65</v>
      </c>
      <c r="H110" s="16" t="s">
        <v>37</v>
      </c>
      <c r="I110" s="15" t="s">
        <v>51</v>
      </c>
      <c r="J110" s="15"/>
      <c r="K110" s="1"/>
      <c r="L110" s="1"/>
      <c r="M110" s="1"/>
      <c r="N110" s="1"/>
      <c r="O110" s="1"/>
      <c r="P110" s="1"/>
      <c r="Q110" s="1"/>
      <c r="R110" s="1"/>
      <c r="S110" s="1"/>
      <c r="T110" s="1"/>
      <c r="U110" s="1"/>
      <c r="V110" s="1"/>
      <c r="W110" s="1"/>
      <c r="X110" s="1"/>
      <c r="Y110" s="1"/>
      <c r="Z110" s="1"/>
    </row>
    <row r="111" spans="1:26" ht="14.25" hidden="1" customHeight="1" x14ac:dyDescent="0.2">
      <c r="A111" s="69"/>
      <c r="B111" s="17">
        <v>101</v>
      </c>
      <c r="C111" s="6" t="s">
        <v>1455</v>
      </c>
      <c r="D111" s="6" t="s">
        <v>296</v>
      </c>
      <c r="E111" s="15" t="s">
        <v>297</v>
      </c>
      <c r="F111" s="15" t="s">
        <v>296</v>
      </c>
      <c r="G111" s="16" t="s">
        <v>65</v>
      </c>
      <c r="H111" s="16" t="s">
        <v>37</v>
      </c>
      <c r="I111" s="15" t="s">
        <v>51</v>
      </c>
      <c r="J111" s="15"/>
      <c r="K111" s="1"/>
      <c r="L111" s="1"/>
      <c r="M111" s="1"/>
      <c r="N111" s="1"/>
      <c r="O111" s="1"/>
      <c r="P111" s="1"/>
      <c r="Q111" s="1"/>
      <c r="R111" s="1"/>
      <c r="S111" s="1"/>
      <c r="T111" s="1"/>
      <c r="U111" s="1"/>
      <c r="V111" s="1"/>
      <c r="W111" s="1"/>
      <c r="X111" s="1"/>
      <c r="Y111" s="1"/>
      <c r="Z111" s="1"/>
    </row>
    <row r="112" spans="1:26" ht="14.25" hidden="1" customHeight="1" x14ac:dyDescent="0.2">
      <c r="A112" s="69"/>
      <c r="B112" s="17">
        <v>102</v>
      </c>
      <c r="C112" s="6" t="s">
        <v>1455</v>
      </c>
      <c r="D112" s="6" t="s">
        <v>298</v>
      </c>
      <c r="E112" s="15" t="s">
        <v>299</v>
      </c>
      <c r="F112" s="15" t="s">
        <v>298</v>
      </c>
      <c r="G112" s="16" t="s">
        <v>65</v>
      </c>
      <c r="H112" s="16" t="s">
        <v>37</v>
      </c>
      <c r="I112" s="15" t="s">
        <v>51</v>
      </c>
      <c r="J112" s="15"/>
      <c r="K112" s="1"/>
      <c r="L112" s="1"/>
      <c r="M112" s="1"/>
      <c r="N112" s="1"/>
      <c r="O112" s="1"/>
      <c r="P112" s="1"/>
      <c r="Q112" s="1"/>
      <c r="R112" s="1"/>
      <c r="S112" s="1"/>
      <c r="T112" s="1"/>
      <c r="U112" s="1"/>
      <c r="V112" s="1"/>
      <c r="W112" s="1"/>
      <c r="X112" s="1"/>
      <c r="Y112" s="1"/>
      <c r="Z112" s="1"/>
    </row>
    <row r="113" spans="1:26" ht="80" x14ac:dyDescent="0.2">
      <c r="A113" s="69"/>
      <c r="B113" s="17">
        <v>103</v>
      </c>
      <c r="C113" s="6" t="s">
        <v>1455</v>
      </c>
      <c r="D113" s="18" t="s">
        <v>300</v>
      </c>
      <c r="E113" s="15" t="s">
        <v>301</v>
      </c>
      <c r="F113" s="15" t="s">
        <v>302</v>
      </c>
      <c r="G113" s="16" t="s">
        <v>35</v>
      </c>
      <c r="H113" s="16" t="s">
        <v>51</v>
      </c>
      <c r="I113" s="15" t="s">
        <v>51</v>
      </c>
      <c r="J113" s="15"/>
      <c r="K113" s="1"/>
      <c r="L113" s="1"/>
      <c r="M113" s="1"/>
      <c r="N113" s="1"/>
      <c r="O113" s="1"/>
      <c r="P113" s="1"/>
      <c r="Q113" s="1"/>
      <c r="R113" s="1"/>
      <c r="S113" s="1"/>
      <c r="T113" s="1"/>
      <c r="U113" s="1"/>
      <c r="V113" s="1"/>
      <c r="W113" s="1"/>
      <c r="X113" s="1"/>
      <c r="Y113" s="1"/>
      <c r="Z113" s="1"/>
    </row>
    <row r="114" spans="1:26" ht="14.25" hidden="1" customHeight="1" x14ac:dyDescent="0.2">
      <c r="A114" s="69"/>
      <c r="B114" s="17">
        <v>104</v>
      </c>
      <c r="C114" s="6" t="s">
        <v>1455</v>
      </c>
      <c r="D114" s="6" t="s">
        <v>303</v>
      </c>
      <c r="E114" s="15" t="s">
        <v>304</v>
      </c>
      <c r="F114" s="15" t="s">
        <v>305</v>
      </c>
      <c r="G114" s="16" t="s">
        <v>57</v>
      </c>
      <c r="H114" s="16" t="s">
        <v>37</v>
      </c>
      <c r="I114" s="15" t="s">
        <v>51</v>
      </c>
      <c r="J114" s="15"/>
      <c r="K114" s="1"/>
      <c r="L114" s="1"/>
      <c r="M114" s="1"/>
      <c r="N114" s="1"/>
      <c r="O114" s="1"/>
      <c r="P114" s="1"/>
      <c r="Q114" s="1"/>
      <c r="R114" s="1"/>
      <c r="S114" s="1"/>
      <c r="T114" s="1"/>
      <c r="U114" s="1"/>
      <c r="V114" s="1"/>
      <c r="W114" s="1"/>
      <c r="X114" s="1"/>
      <c r="Y114" s="1"/>
      <c r="Z114" s="1"/>
    </row>
    <row r="115" spans="1:26" ht="27.75" hidden="1" customHeight="1" x14ac:dyDescent="0.2">
      <c r="A115" s="69"/>
      <c r="B115" s="17">
        <v>105</v>
      </c>
      <c r="C115" s="6" t="s">
        <v>1455</v>
      </c>
      <c r="D115" s="6" t="s">
        <v>306</v>
      </c>
      <c r="E115" s="15" t="s">
        <v>307</v>
      </c>
      <c r="F115" s="15" t="s">
        <v>308</v>
      </c>
      <c r="G115" s="16" t="s">
        <v>65</v>
      </c>
      <c r="H115" s="16" t="s">
        <v>37</v>
      </c>
      <c r="I115" s="15" t="s">
        <v>51</v>
      </c>
      <c r="J115" s="15" t="s">
        <v>309</v>
      </c>
      <c r="K115" s="1"/>
      <c r="L115" s="1"/>
      <c r="M115" s="1"/>
      <c r="N115" s="1"/>
      <c r="O115" s="1"/>
      <c r="P115" s="1"/>
      <c r="Q115" s="1"/>
      <c r="R115" s="1"/>
      <c r="S115" s="1"/>
      <c r="T115" s="1"/>
      <c r="U115" s="1"/>
      <c r="V115" s="1"/>
      <c r="W115" s="1"/>
      <c r="X115" s="1"/>
      <c r="Y115" s="1"/>
      <c r="Z115" s="1"/>
    </row>
    <row r="116" spans="1:26" ht="16" x14ac:dyDescent="0.2">
      <c r="A116" s="69"/>
      <c r="B116" s="17">
        <v>106</v>
      </c>
      <c r="C116" s="6" t="s">
        <v>1455</v>
      </c>
      <c r="D116" s="18" t="s">
        <v>310</v>
      </c>
      <c r="E116" s="15" t="s">
        <v>311</v>
      </c>
      <c r="F116" s="15" t="s">
        <v>312</v>
      </c>
      <c r="G116" s="16" t="s">
        <v>65</v>
      </c>
      <c r="H116" s="16" t="s">
        <v>51</v>
      </c>
      <c r="I116" s="15" t="s">
        <v>51</v>
      </c>
      <c r="J116" s="15"/>
      <c r="K116" s="1"/>
      <c r="L116" s="1"/>
      <c r="M116" s="1"/>
      <c r="N116" s="1"/>
      <c r="O116" s="1"/>
      <c r="P116" s="1"/>
      <c r="Q116" s="1"/>
      <c r="R116" s="1"/>
      <c r="S116" s="1"/>
      <c r="T116" s="1"/>
      <c r="U116" s="1"/>
      <c r="V116" s="1"/>
      <c r="W116" s="1"/>
      <c r="X116" s="1"/>
      <c r="Y116" s="1"/>
      <c r="Z116" s="1"/>
    </row>
    <row r="117" spans="1:26" ht="14.25" customHeight="1" x14ac:dyDescent="0.2">
      <c r="A117" s="69"/>
      <c r="B117" s="17">
        <v>107</v>
      </c>
      <c r="C117" s="6" t="s">
        <v>1455</v>
      </c>
      <c r="D117" s="6" t="s">
        <v>313</v>
      </c>
      <c r="E117" s="15" t="s">
        <v>314</v>
      </c>
      <c r="F117" s="15" t="s">
        <v>315</v>
      </c>
      <c r="G117" s="16" t="s">
        <v>65</v>
      </c>
      <c r="H117" s="16" t="s">
        <v>51</v>
      </c>
      <c r="I117" s="15" t="s">
        <v>51</v>
      </c>
      <c r="J117" s="15"/>
      <c r="K117" s="1"/>
      <c r="L117" s="1"/>
      <c r="M117" s="1"/>
      <c r="N117" s="1"/>
      <c r="O117" s="1"/>
      <c r="P117" s="1"/>
      <c r="Q117" s="1"/>
      <c r="R117" s="1"/>
      <c r="S117" s="1"/>
      <c r="T117" s="1"/>
      <c r="U117" s="1"/>
      <c r="V117" s="1"/>
      <c r="W117" s="1"/>
      <c r="X117" s="1"/>
      <c r="Y117" s="1"/>
      <c r="Z117" s="1"/>
    </row>
    <row r="118" spans="1:26" ht="14.25" customHeight="1" x14ac:dyDescent="0.2">
      <c r="A118" s="69"/>
      <c r="B118" s="17">
        <v>108</v>
      </c>
      <c r="C118" s="6" t="s">
        <v>1455</v>
      </c>
      <c r="D118" s="6" t="s">
        <v>316</v>
      </c>
      <c r="E118" s="15" t="s">
        <v>317</v>
      </c>
      <c r="F118" s="15" t="s">
        <v>316</v>
      </c>
      <c r="G118" s="16" t="s">
        <v>65</v>
      </c>
      <c r="H118" s="16" t="s">
        <v>51</v>
      </c>
      <c r="I118" s="15" t="s">
        <v>51</v>
      </c>
      <c r="J118" s="15"/>
      <c r="K118" s="1"/>
      <c r="L118" s="1"/>
      <c r="M118" s="1"/>
      <c r="N118" s="1"/>
      <c r="O118" s="1"/>
      <c r="P118" s="1"/>
      <c r="Q118" s="1"/>
      <c r="R118" s="1"/>
      <c r="S118" s="1"/>
      <c r="T118" s="1"/>
      <c r="U118" s="1"/>
      <c r="V118" s="1"/>
      <c r="W118" s="1"/>
      <c r="X118" s="1"/>
      <c r="Y118" s="1"/>
      <c r="Z118" s="1"/>
    </row>
    <row r="119" spans="1:26" ht="32.25" hidden="1" customHeight="1" x14ac:dyDescent="0.2">
      <c r="A119" s="69"/>
      <c r="B119" s="17">
        <v>109</v>
      </c>
      <c r="C119" s="6" t="s">
        <v>1455</v>
      </c>
      <c r="D119" s="18" t="s">
        <v>318</v>
      </c>
      <c r="E119" s="15" t="s">
        <v>319</v>
      </c>
      <c r="F119" s="15" t="s">
        <v>320</v>
      </c>
      <c r="G119" s="16" t="s">
        <v>65</v>
      </c>
      <c r="H119" s="16" t="s">
        <v>37</v>
      </c>
      <c r="I119" s="15" t="s">
        <v>51</v>
      </c>
      <c r="J119" s="15"/>
      <c r="K119" s="1"/>
      <c r="L119" s="1"/>
      <c r="M119" s="1"/>
      <c r="N119" s="1"/>
      <c r="O119" s="1"/>
      <c r="P119" s="1"/>
      <c r="Q119" s="1"/>
      <c r="R119" s="1"/>
      <c r="S119" s="1"/>
      <c r="T119" s="1"/>
      <c r="U119" s="1"/>
      <c r="V119" s="1"/>
      <c r="W119" s="1"/>
      <c r="X119" s="1"/>
      <c r="Y119" s="1"/>
      <c r="Z119" s="1"/>
    </row>
    <row r="120" spans="1:26" ht="14.25" hidden="1" customHeight="1" x14ac:dyDescent="0.2">
      <c r="A120" s="69"/>
      <c r="B120" s="17">
        <v>110</v>
      </c>
      <c r="C120" s="6" t="s">
        <v>1455</v>
      </c>
      <c r="D120" s="6" t="s">
        <v>321</v>
      </c>
      <c r="E120" s="15" t="s">
        <v>322</v>
      </c>
      <c r="F120" s="15" t="s">
        <v>323</v>
      </c>
      <c r="G120" s="16" t="s">
        <v>65</v>
      </c>
      <c r="H120" s="16" t="s">
        <v>37</v>
      </c>
      <c r="I120" s="15" t="s">
        <v>51</v>
      </c>
      <c r="J120" s="15"/>
      <c r="K120" s="1"/>
      <c r="L120" s="1"/>
      <c r="M120" s="1"/>
      <c r="N120" s="1"/>
      <c r="O120" s="1"/>
      <c r="P120" s="1"/>
      <c r="Q120" s="1"/>
      <c r="R120" s="1"/>
      <c r="S120" s="1"/>
      <c r="T120" s="1"/>
      <c r="U120" s="1"/>
      <c r="V120" s="1"/>
      <c r="W120" s="1"/>
      <c r="X120" s="1"/>
      <c r="Y120" s="1"/>
      <c r="Z120" s="1"/>
    </row>
    <row r="121" spans="1:26" ht="14.25" hidden="1" customHeight="1" x14ac:dyDescent="0.2">
      <c r="A121" s="69"/>
      <c r="B121" s="17">
        <v>111</v>
      </c>
      <c r="C121" s="6" t="s">
        <v>1455</v>
      </c>
      <c r="D121" s="6" t="s">
        <v>324</v>
      </c>
      <c r="E121" s="15" t="s">
        <v>325</v>
      </c>
      <c r="F121" s="15" t="s">
        <v>326</v>
      </c>
      <c r="G121" s="16" t="s">
        <v>65</v>
      </c>
      <c r="H121" s="16" t="s">
        <v>37</v>
      </c>
      <c r="I121" s="15" t="s">
        <v>51</v>
      </c>
      <c r="J121" s="15"/>
      <c r="K121" s="1"/>
      <c r="L121" s="1"/>
      <c r="M121" s="1"/>
      <c r="N121" s="1"/>
      <c r="O121" s="1"/>
      <c r="P121" s="1"/>
      <c r="Q121" s="1"/>
      <c r="R121" s="1"/>
      <c r="S121" s="1"/>
      <c r="T121" s="1"/>
      <c r="U121" s="1"/>
      <c r="V121" s="1"/>
      <c r="W121" s="1"/>
      <c r="X121" s="1"/>
      <c r="Y121" s="1"/>
      <c r="Z121" s="1"/>
    </row>
    <row r="122" spans="1:26" ht="14.25" hidden="1" customHeight="1" x14ac:dyDescent="0.2">
      <c r="A122" s="69"/>
      <c r="B122" s="17">
        <v>112</v>
      </c>
      <c r="C122" s="6" t="s">
        <v>1455</v>
      </c>
      <c r="D122" s="6" t="s">
        <v>327</v>
      </c>
      <c r="E122" s="15" t="s">
        <v>328</v>
      </c>
      <c r="F122" s="15" t="s">
        <v>327</v>
      </c>
      <c r="G122" s="16" t="s">
        <v>65</v>
      </c>
      <c r="H122" s="16" t="s">
        <v>37</v>
      </c>
      <c r="I122" s="15" t="s">
        <v>51</v>
      </c>
      <c r="J122" s="15"/>
      <c r="K122" s="1"/>
      <c r="L122" s="1"/>
      <c r="M122" s="1"/>
      <c r="N122" s="1"/>
      <c r="O122" s="1"/>
      <c r="P122" s="1"/>
      <c r="Q122" s="1"/>
      <c r="R122" s="1"/>
      <c r="S122" s="1"/>
      <c r="T122" s="1"/>
      <c r="U122" s="1"/>
      <c r="V122" s="1"/>
      <c r="W122" s="1"/>
      <c r="X122" s="1"/>
      <c r="Y122" s="1"/>
      <c r="Z122" s="1"/>
    </row>
    <row r="123" spans="1:26" ht="14.25" customHeight="1" x14ac:dyDescent="0.2">
      <c r="A123" s="69"/>
      <c r="B123" s="17">
        <v>113</v>
      </c>
      <c r="C123" s="6" t="s">
        <v>1455</v>
      </c>
      <c r="D123" s="18" t="s">
        <v>329</v>
      </c>
      <c r="E123" s="15" t="s">
        <v>330</v>
      </c>
      <c r="F123" s="15" t="s">
        <v>331</v>
      </c>
      <c r="G123" s="16" t="s">
        <v>65</v>
      </c>
      <c r="H123" s="16" t="s">
        <v>51</v>
      </c>
      <c r="I123" s="15" t="s">
        <v>51</v>
      </c>
      <c r="J123" s="15"/>
      <c r="K123" s="1"/>
      <c r="L123" s="1"/>
      <c r="M123" s="1"/>
      <c r="N123" s="1"/>
      <c r="O123" s="1"/>
      <c r="P123" s="1"/>
      <c r="Q123" s="1"/>
      <c r="R123" s="1"/>
      <c r="S123" s="1"/>
      <c r="T123" s="1"/>
      <c r="U123" s="1"/>
      <c r="V123" s="1"/>
      <c r="W123" s="1"/>
      <c r="X123" s="1"/>
      <c r="Y123" s="1"/>
      <c r="Z123" s="1"/>
    </row>
    <row r="124" spans="1:26" ht="14.25" customHeight="1" x14ac:dyDescent="0.2">
      <c r="A124" s="69"/>
      <c r="B124" s="17">
        <v>114</v>
      </c>
      <c r="C124" s="6" t="s">
        <v>1455</v>
      </c>
      <c r="D124" s="18" t="s">
        <v>332</v>
      </c>
      <c r="E124" s="15" t="s">
        <v>333</v>
      </c>
      <c r="F124" s="15" t="s">
        <v>334</v>
      </c>
      <c r="G124" s="16" t="s">
        <v>65</v>
      </c>
      <c r="H124" s="16" t="s">
        <v>51</v>
      </c>
      <c r="I124" s="15" t="s">
        <v>51</v>
      </c>
      <c r="J124" s="15"/>
      <c r="K124" s="1"/>
      <c r="L124" s="1"/>
      <c r="M124" s="1"/>
      <c r="N124" s="1"/>
      <c r="O124" s="1"/>
      <c r="P124" s="1"/>
      <c r="Q124" s="1"/>
      <c r="R124" s="1"/>
      <c r="S124" s="1"/>
      <c r="T124" s="1"/>
      <c r="U124" s="1"/>
      <c r="V124" s="1"/>
      <c r="W124" s="1"/>
      <c r="X124" s="1"/>
      <c r="Y124" s="1"/>
      <c r="Z124" s="1"/>
    </row>
    <row r="125" spans="1:26" ht="14.25" hidden="1" customHeight="1" x14ac:dyDescent="0.2">
      <c r="A125" s="69"/>
      <c r="B125" s="17">
        <v>115</v>
      </c>
      <c r="C125" s="6" t="s">
        <v>1455</v>
      </c>
      <c r="D125" s="6" t="s">
        <v>335</v>
      </c>
      <c r="E125" s="15" t="s">
        <v>336</v>
      </c>
      <c r="F125" s="15" t="s">
        <v>337</v>
      </c>
      <c r="G125" s="16" t="s">
        <v>65</v>
      </c>
      <c r="H125" s="16" t="s">
        <v>37</v>
      </c>
      <c r="I125" s="15" t="s">
        <v>51</v>
      </c>
      <c r="J125" s="15"/>
      <c r="K125" s="1"/>
      <c r="L125" s="1"/>
      <c r="M125" s="1"/>
      <c r="N125" s="1"/>
      <c r="O125" s="1"/>
      <c r="P125" s="1"/>
      <c r="Q125" s="1"/>
      <c r="R125" s="1"/>
      <c r="S125" s="1"/>
      <c r="T125" s="1"/>
      <c r="U125" s="1"/>
      <c r="V125" s="1"/>
      <c r="W125" s="1"/>
      <c r="X125" s="1"/>
      <c r="Y125" s="1"/>
      <c r="Z125" s="1"/>
    </row>
    <row r="126" spans="1:26" ht="14.25" hidden="1" customHeight="1" x14ac:dyDescent="0.2">
      <c r="A126" s="69"/>
      <c r="B126" s="17">
        <v>116</v>
      </c>
      <c r="C126" s="6" t="s">
        <v>1455</v>
      </c>
      <c r="D126" s="6" t="s">
        <v>338</v>
      </c>
      <c r="E126" s="15" t="s">
        <v>339</v>
      </c>
      <c r="F126" s="15" t="s">
        <v>338</v>
      </c>
      <c r="G126" s="16" t="s">
        <v>65</v>
      </c>
      <c r="H126" s="16" t="s">
        <v>37</v>
      </c>
      <c r="I126" s="15" t="s">
        <v>51</v>
      </c>
      <c r="J126" s="15"/>
      <c r="K126" s="1"/>
      <c r="L126" s="1"/>
      <c r="M126" s="1"/>
      <c r="N126" s="1"/>
      <c r="O126" s="1"/>
      <c r="P126" s="1"/>
      <c r="Q126" s="1"/>
      <c r="R126" s="1"/>
      <c r="S126" s="1"/>
      <c r="T126" s="1"/>
      <c r="U126" s="1"/>
      <c r="V126" s="1"/>
      <c r="W126" s="1"/>
      <c r="X126" s="1"/>
      <c r="Y126" s="1"/>
      <c r="Z126" s="1"/>
    </row>
    <row r="127" spans="1:26" ht="14.25" customHeight="1" x14ac:dyDescent="0.2">
      <c r="A127" s="69"/>
      <c r="B127" s="17">
        <v>117</v>
      </c>
      <c r="C127" s="6" t="s">
        <v>1455</v>
      </c>
      <c r="D127" s="6" t="s">
        <v>340</v>
      </c>
      <c r="E127" s="15" t="s">
        <v>341</v>
      </c>
      <c r="F127" s="15" t="s">
        <v>340</v>
      </c>
      <c r="G127" s="16" t="s">
        <v>65</v>
      </c>
      <c r="H127" s="16" t="s">
        <v>51</v>
      </c>
      <c r="I127" s="15" t="s">
        <v>51</v>
      </c>
      <c r="J127" s="15"/>
      <c r="K127" s="1"/>
      <c r="L127" s="1"/>
      <c r="M127" s="1"/>
      <c r="N127" s="1"/>
      <c r="O127" s="1"/>
      <c r="P127" s="1"/>
      <c r="Q127" s="1"/>
      <c r="R127" s="1"/>
      <c r="S127" s="1"/>
      <c r="T127" s="1"/>
      <c r="U127" s="1"/>
      <c r="V127" s="1"/>
      <c r="W127" s="1"/>
      <c r="X127" s="1"/>
      <c r="Y127" s="1"/>
      <c r="Z127" s="1"/>
    </row>
    <row r="128" spans="1:26" ht="14.25" customHeight="1" x14ac:dyDescent="0.2">
      <c r="A128" s="69"/>
      <c r="B128" s="17">
        <v>118</v>
      </c>
      <c r="C128" s="6" t="s">
        <v>1455</v>
      </c>
      <c r="D128" s="18" t="s">
        <v>342</v>
      </c>
      <c r="E128" s="15" t="s">
        <v>343</v>
      </c>
      <c r="F128" s="15" t="s">
        <v>344</v>
      </c>
      <c r="G128" s="16" t="s">
        <v>345</v>
      </c>
      <c r="H128" s="16" t="s">
        <v>51</v>
      </c>
      <c r="I128" s="15" t="s">
        <v>51</v>
      </c>
      <c r="J128" s="15"/>
      <c r="K128" s="1"/>
      <c r="L128" s="1"/>
      <c r="M128" s="1"/>
      <c r="N128" s="1"/>
      <c r="O128" s="1"/>
      <c r="P128" s="1"/>
      <c r="Q128" s="1"/>
      <c r="R128" s="1"/>
      <c r="S128" s="1"/>
      <c r="T128" s="1"/>
      <c r="U128" s="1"/>
      <c r="V128" s="1"/>
      <c r="W128" s="1"/>
      <c r="X128" s="1"/>
      <c r="Y128" s="1"/>
      <c r="Z128" s="1"/>
    </row>
    <row r="129" spans="1:26" ht="14.25" customHeight="1" x14ac:dyDescent="0.2">
      <c r="A129" s="69"/>
      <c r="B129" s="17">
        <v>119</v>
      </c>
      <c r="C129" s="6" t="s">
        <v>1455</v>
      </c>
      <c r="D129" s="18" t="s">
        <v>346</v>
      </c>
      <c r="E129" s="15" t="s">
        <v>347</v>
      </c>
      <c r="F129" s="15" t="s">
        <v>348</v>
      </c>
      <c r="G129" s="16" t="s">
        <v>65</v>
      </c>
      <c r="H129" s="16" t="s">
        <v>51</v>
      </c>
      <c r="I129" s="15" t="s">
        <v>51</v>
      </c>
      <c r="J129" s="15"/>
      <c r="K129" s="1"/>
      <c r="L129" s="1"/>
      <c r="M129" s="1"/>
      <c r="N129" s="1"/>
      <c r="O129" s="1"/>
      <c r="P129" s="1"/>
      <c r="Q129" s="1"/>
      <c r="R129" s="1"/>
      <c r="S129" s="1"/>
      <c r="T129" s="1"/>
      <c r="U129" s="1"/>
      <c r="V129" s="1"/>
      <c r="W129" s="1"/>
      <c r="X129" s="1"/>
      <c r="Y129" s="1"/>
      <c r="Z129" s="1"/>
    </row>
    <row r="130" spans="1:26" ht="14.25" hidden="1" customHeight="1" x14ac:dyDescent="0.2">
      <c r="A130" s="69"/>
      <c r="B130" s="17">
        <v>120</v>
      </c>
      <c r="C130" s="6" t="s">
        <v>1455</v>
      </c>
      <c r="D130" s="6" t="s">
        <v>349</v>
      </c>
      <c r="E130" s="15" t="s">
        <v>350</v>
      </c>
      <c r="F130" s="15" t="s">
        <v>349</v>
      </c>
      <c r="G130" s="16" t="s">
        <v>65</v>
      </c>
      <c r="H130" s="16" t="s">
        <v>37</v>
      </c>
      <c r="I130" s="15" t="s">
        <v>51</v>
      </c>
      <c r="J130" s="15"/>
      <c r="K130" s="1"/>
      <c r="L130" s="1"/>
      <c r="M130" s="1"/>
      <c r="N130" s="1"/>
      <c r="O130" s="1"/>
      <c r="P130" s="1"/>
      <c r="Q130" s="1"/>
      <c r="R130" s="1"/>
      <c r="S130" s="1"/>
      <c r="T130" s="1"/>
      <c r="U130" s="1"/>
      <c r="V130" s="1"/>
      <c r="W130" s="1"/>
      <c r="X130" s="1"/>
      <c r="Y130" s="1"/>
      <c r="Z130" s="1"/>
    </row>
    <row r="131" spans="1:26" ht="14.25" hidden="1" customHeight="1" x14ac:dyDescent="0.2">
      <c r="A131" s="69"/>
      <c r="B131" s="17">
        <v>121</v>
      </c>
      <c r="C131" s="6" t="s">
        <v>1455</v>
      </c>
      <c r="D131" s="6" t="s">
        <v>351</v>
      </c>
      <c r="E131" s="15" t="s">
        <v>352</v>
      </c>
      <c r="F131" s="15" t="s">
        <v>351</v>
      </c>
      <c r="G131" s="16" t="s">
        <v>65</v>
      </c>
      <c r="H131" s="16" t="s">
        <v>37</v>
      </c>
      <c r="I131" s="15" t="s">
        <v>51</v>
      </c>
      <c r="J131" s="15"/>
      <c r="K131" s="1"/>
      <c r="L131" s="1"/>
      <c r="M131" s="1"/>
      <c r="N131" s="1"/>
      <c r="O131" s="1"/>
      <c r="P131" s="1"/>
      <c r="Q131" s="1"/>
      <c r="R131" s="1"/>
      <c r="S131" s="1"/>
      <c r="T131" s="1"/>
      <c r="U131" s="1"/>
      <c r="V131" s="1"/>
      <c r="W131" s="1"/>
      <c r="X131" s="1"/>
      <c r="Y131" s="1"/>
      <c r="Z131" s="1"/>
    </row>
    <row r="132" spans="1:26" ht="14.25" hidden="1" customHeight="1" x14ac:dyDescent="0.2">
      <c r="A132" s="69"/>
      <c r="B132" s="17">
        <v>122</v>
      </c>
      <c r="C132" s="6" t="s">
        <v>1455</v>
      </c>
      <c r="D132" s="18" t="s">
        <v>353</v>
      </c>
      <c r="E132" s="15" t="s">
        <v>354</v>
      </c>
      <c r="F132" s="15" t="s">
        <v>355</v>
      </c>
      <c r="G132" s="16" t="s">
        <v>65</v>
      </c>
      <c r="H132" s="16" t="s">
        <v>37</v>
      </c>
      <c r="I132" s="15" t="s">
        <v>51</v>
      </c>
      <c r="J132" s="15"/>
      <c r="K132" s="1"/>
      <c r="L132" s="1"/>
      <c r="M132" s="1"/>
      <c r="N132" s="1"/>
      <c r="O132" s="1"/>
      <c r="P132" s="1"/>
      <c r="Q132" s="1"/>
      <c r="R132" s="1"/>
      <c r="S132" s="1"/>
      <c r="T132" s="1"/>
      <c r="U132" s="1"/>
      <c r="V132" s="1"/>
      <c r="W132" s="1"/>
      <c r="X132" s="1"/>
      <c r="Y132" s="1"/>
      <c r="Z132" s="1"/>
    </row>
    <row r="133" spans="1:26" ht="14.25" hidden="1" customHeight="1" x14ac:dyDescent="0.2">
      <c r="A133" s="69"/>
      <c r="B133" s="17">
        <v>123</v>
      </c>
      <c r="C133" s="6" t="s">
        <v>1455</v>
      </c>
      <c r="D133" s="6" t="s">
        <v>356</v>
      </c>
      <c r="E133" s="15" t="s">
        <v>357</v>
      </c>
      <c r="F133" s="15" t="s">
        <v>356</v>
      </c>
      <c r="G133" s="16" t="s">
        <v>65</v>
      </c>
      <c r="H133" s="16" t="s">
        <v>37</v>
      </c>
      <c r="I133" s="15" t="s">
        <v>51</v>
      </c>
      <c r="J133" s="15" t="s">
        <v>358</v>
      </c>
      <c r="K133" s="1"/>
      <c r="L133" s="1"/>
      <c r="M133" s="1"/>
      <c r="N133" s="1"/>
      <c r="O133" s="1"/>
      <c r="P133" s="1"/>
      <c r="Q133" s="1"/>
      <c r="R133" s="1"/>
      <c r="S133" s="1"/>
      <c r="T133" s="1"/>
      <c r="U133" s="1"/>
      <c r="V133" s="1"/>
      <c r="W133" s="1"/>
      <c r="X133" s="1"/>
      <c r="Y133" s="1"/>
      <c r="Z133" s="1"/>
    </row>
    <row r="134" spans="1:26" ht="14.25" hidden="1" customHeight="1" x14ac:dyDescent="0.2">
      <c r="A134" s="69"/>
      <c r="B134" s="17">
        <v>124</v>
      </c>
      <c r="C134" s="6" t="s">
        <v>1455</v>
      </c>
      <c r="D134" s="18" t="s">
        <v>359</v>
      </c>
      <c r="E134" s="15" t="s">
        <v>360</v>
      </c>
      <c r="F134" s="15" t="s">
        <v>361</v>
      </c>
      <c r="G134" s="16" t="s">
        <v>65</v>
      </c>
      <c r="H134" s="16" t="s">
        <v>37</v>
      </c>
      <c r="I134" s="15" t="s">
        <v>51</v>
      </c>
      <c r="J134" s="15"/>
      <c r="K134" s="1"/>
      <c r="L134" s="1"/>
      <c r="M134" s="1"/>
      <c r="N134" s="1"/>
      <c r="O134" s="1"/>
      <c r="P134" s="1"/>
      <c r="Q134" s="1"/>
      <c r="R134" s="1"/>
      <c r="S134" s="1"/>
      <c r="T134" s="1"/>
      <c r="U134" s="1"/>
      <c r="V134" s="1"/>
      <c r="W134" s="1"/>
      <c r="X134" s="1"/>
      <c r="Y134" s="1"/>
      <c r="Z134" s="1"/>
    </row>
    <row r="135" spans="1:26" ht="14.25" hidden="1" customHeight="1" x14ac:dyDescent="0.2">
      <c r="A135" s="69"/>
      <c r="B135" s="17">
        <v>125</v>
      </c>
      <c r="C135" s="6" t="s">
        <v>1455</v>
      </c>
      <c r="D135" s="6" t="s">
        <v>362</v>
      </c>
      <c r="E135" s="15" t="s">
        <v>363</v>
      </c>
      <c r="F135" s="15" t="s">
        <v>364</v>
      </c>
      <c r="G135" s="16" t="s">
        <v>65</v>
      </c>
      <c r="H135" s="16" t="s">
        <v>37</v>
      </c>
      <c r="I135" s="15" t="s">
        <v>51</v>
      </c>
      <c r="J135" s="15"/>
      <c r="K135" s="1"/>
      <c r="L135" s="1"/>
      <c r="M135" s="1"/>
      <c r="N135" s="1"/>
      <c r="O135" s="1"/>
      <c r="P135" s="1"/>
      <c r="Q135" s="1"/>
      <c r="R135" s="1"/>
      <c r="S135" s="1"/>
      <c r="T135" s="1"/>
      <c r="U135" s="1"/>
      <c r="V135" s="1"/>
      <c r="W135" s="1"/>
      <c r="X135" s="1"/>
      <c r="Y135" s="1"/>
      <c r="Z135" s="1"/>
    </row>
    <row r="136" spans="1:26" ht="14.25" customHeight="1" x14ac:dyDescent="0.2">
      <c r="A136" s="69"/>
      <c r="B136" s="17">
        <v>126</v>
      </c>
      <c r="C136" s="6" t="s">
        <v>1455</v>
      </c>
      <c r="D136" s="6" t="s">
        <v>365</v>
      </c>
      <c r="E136" s="15" t="s">
        <v>366</v>
      </c>
      <c r="F136" s="15" t="s">
        <v>365</v>
      </c>
      <c r="G136" s="16" t="s">
        <v>65</v>
      </c>
      <c r="H136" s="16" t="s">
        <v>51</v>
      </c>
      <c r="I136" s="15" t="s">
        <v>51</v>
      </c>
      <c r="J136" s="15"/>
      <c r="K136" s="1"/>
      <c r="L136" s="1"/>
      <c r="M136" s="1"/>
      <c r="N136" s="1"/>
      <c r="O136" s="1"/>
      <c r="P136" s="1"/>
      <c r="Q136" s="1"/>
      <c r="R136" s="1"/>
      <c r="S136" s="1"/>
      <c r="T136" s="1"/>
      <c r="U136" s="1"/>
      <c r="V136" s="1"/>
      <c r="W136" s="1"/>
      <c r="X136" s="1"/>
      <c r="Y136" s="1"/>
      <c r="Z136" s="1"/>
    </row>
    <row r="137" spans="1:26" ht="14.25" hidden="1" customHeight="1" x14ac:dyDescent="0.2">
      <c r="A137" s="69"/>
      <c r="B137" s="17">
        <v>127</v>
      </c>
      <c r="C137" s="6" t="s">
        <v>1455</v>
      </c>
      <c r="D137" s="6" t="s">
        <v>367</v>
      </c>
      <c r="E137" s="15" t="s">
        <v>368</v>
      </c>
      <c r="F137" s="15" t="s">
        <v>367</v>
      </c>
      <c r="G137" s="16" t="s">
        <v>65</v>
      </c>
      <c r="H137" s="16" t="s">
        <v>37</v>
      </c>
      <c r="I137" s="15" t="s">
        <v>51</v>
      </c>
      <c r="J137" s="15"/>
      <c r="K137" s="1"/>
      <c r="L137" s="1"/>
      <c r="M137" s="1"/>
      <c r="N137" s="1"/>
      <c r="O137" s="1"/>
      <c r="P137" s="1"/>
      <c r="Q137" s="1"/>
      <c r="R137" s="1"/>
      <c r="S137" s="1"/>
      <c r="T137" s="1"/>
      <c r="U137" s="1"/>
      <c r="V137" s="1"/>
      <c r="W137" s="1"/>
      <c r="X137" s="1"/>
      <c r="Y137" s="1"/>
      <c r="Z137" s="1"/>
    </row>
    <row r="138" spans="1:26" ht="14.25" hidden="1" customHeight="1" x14ac:dyDescent="0.2">
      <c r="A138" s="69"/>
      <c r="B138" s="17">
        <v>128</v>
      </c>
      <c r="C138" s="6" t="s">
        <v>1455</v>
      </c>
      <c r="D138" s="6" t="s">
        <v>369</v>
      </c>
      <c r="E138" s="15" t="s">
        <v>370</v>
      </c>
      <c r="F138" s="15" t="s">
        <v>371</v>
      </c>
      <c r="G138" s="16" t="s">
        <v>65</v>
      </c>
      <c r="H138" s="16" t="s">
        <v>37</v>
      </c>
      <c r="I138" s="15" t="s">
        <v>51</v>
      </c>
      <c r="J138" s="15"/>
      <c r="K138" s="1"/>
      <c r="L138" s="1"/>
      <c r="M138" s="1"/>
      <c r="N138" s="1"/>
      <c r="O138" s="1"/>
      <c r="P138" s="1"/>
      <c r="Q138" s="1"/>
      <c r="R138" s="1"/>
      <c r="S138" s="1"/>
      <c r="T138" s="1"/>
      <c r="U138" s="1"/>
      <c r="V138" s="1"/>
      <c r="W138" s="1"/>
      <c r="X138" s="1"/>
      <c r="Y138" s="1"/>
      <c r="Z138" s="1"/>
    </row>
    <row r="139" spans="1:26" ht="14.25" hidden="1" customHeight="1" x14ac:dyDescent="0.2">
      <c r="A139" s="69"/>
      <c r="B139" s="17">
        <v>129</v>
      </c>
      <c r="C139" s="6" t="s">
        <v>1455</v>
      </c>
      <c r="D139" s="6" t="s">
        <v>372</v>
      </c>
      <c r="E139" s="15" t="s">
        <v>373</v>
      </c>
      <c r="F139" s="15" t="s">
        <v>374</v>
      </c>
      <c r="G139" s="16" t="s">
        <v>65</v>
      </c>
      <c r="H139" s="16" t="s">
        <v>37</v>
      </c>
      <c r="I139" s="15" t="s">
        <v>51</v>
      </c>
      <c r="J139" s="15"/>
      <c r="K139" s="1"/>
      <c r="L139" s="1"/>
      <c r="M139" s="1"/>
      <c r="N139" s="1"/>
      <c r="O139" s="1"/>
      <c r="P139" s="1"/>
      <c r="Q139" s="1"/>
      <c r="R139" s="1"/>
      <c r="S139" s="1"/>
      <c r="T139" s="1"/>
      <c r="U139" s="1"/>
      <c r="V139" s="1"/>
      <c r="W139" s="1"/>
      <c r="X139" s="1"/>
      <c r="Y139" s="1"/>
      <c r="Z139" s="1"/>
    </row>
    <row r="140" spans="1:26" ht="14.25" customHeight="1" x14ac:dyDescent="0.2">
      <c r="A140" s="69"/>
      <c r="B140" s="17">
        <v>130</v>
      </c>
      <c r="C140" s="6" t="s">
        <v>1455</v>
      </c>
      <c r="D140" s="18" t="s">
        <v>375</v>
      </c>
      <c r="E140" s="15" t="s">
        <v>376</v>
      </c>
      <c r="F140" s="15" t="s">
        <v>377</v>
      </c>
      <c r="G140" s="16" t="s">
        <v>65</v>
      </c>
      <c r="H140" s="16" t="s">
        <v>51</v>
      </c>
      <c r="I140" s="15" t="s">
        <v>51</v>
      </c>
      <c r="J140" s="15"/>
      <c r="K140" s="1"/>
      <c r="L140" s="1"/>
      <c r="M140" s="1"/>
      <c r="N140" s="1"/>
      <c r="O140" s="1"/>
      <c r="P140" s="1"/>
      <c r="Q140" s="1"/>
      <c r="R140" s="1"/>
      <c r="S140" s="1"/>
      <c r="T140" s="1"/>
      <c r="U140" s="1"/>
      <c r="V140" s="1"/>
      <c r="W140" s="1"/>
      <c r="X140" s="1"/>
      <c r="Y140" s="1"/>
      <c r="Z140" s="1"/>
    </row>
    <row r="141" spans="1:26" ht="14.25" hidden="1" customHeight="1" x14ac:dyDescent="0.2">
      <c r="A141" s="69"/>
      <c r="B141" s="17">
        <v>131</v>
      </c>
      <c r="C141" s="6" t="s">
        <v>1455</v>
      </c>
      <c r="D141" s="6" t="s">
        <v>378</v>
      </c>
      <c r="E141" s="15" t="s">
        <v>379</v>
      </c>
      <c r="F141" s="15" t="s">
        <v>380</v>
      </c>
      <c r="G141" s="16" t="s">
        <v>65</v>
      </c>
      <c r="H141" s="16" t="s">
        <v>37</v>
      </c>
      <c r="I141" s="15" t="s">
        <v>51</v>
      </c>
      <c r="J141" s="15"/>
      <c r="K141" s="1"/>
      <c r="L141" s="1"/>
      <c r="M141" s="1"/>
      <c r="N141" s="1"/>
      <c r="O141" s="1"/>
      <c r="P141" s="1"/>
      <c r="Q141" s="1"/>
      <c r="R141" s="1"/>
      <c r="S141" s="1"/>
      <c r="T141" s="1"/>
      <c r="U141" s="1"/>
      <c r="V141" s="1"/>
      <c r="W141" s="1"/>
      <c r="X141" s="1"/>
      <c r="Y141" s="1"/>
      <c r="Z141" s="1"/>
    </row>
    <row r="142" spans="1:26" ht="14.25" hidden="1" customHeight="1" x14ac:dyDescent="0.2">
      <c r="A142" s="69"/>
      <c r="B142" s="17">
        <v>132</v>
      </c>
      <c r="C142" s="6" t="s">
        <v>1455</v>
      </c>
      <c r="D142" s="6" t="s">
        <v>381</v>
      </c>
      <c r="E142" s="15" t="s">
        <v>382</v>
      </c>
      <c r="F142" s="15" t="s">
        <v>381</v>
      </c>
      <c r="G142" s="16" t="s">
        <v>65</v>
      </c>
      <c r="H142" s="16" t="s">
        <v>37</v>
      </c>
      <c r="I142" s="15" t="s">
        <v>51</v>
      </c>
      <c r="J142" s="15"/>
      <c r="K142" s="1"/>
      <c r="L142" s="1"/>
      <c r="M142" s="1"/>
      <c r="N142" s="1"/>
      <c r="O142" s="1"/>
      <c r="P142" s="1"/>
      <c r="Q142" s="1"/>
      <c r="R142" s="1"/>
      <c r="S142" s="1"/>
      <c r="T142" s="1"/>
      <c r="U142" s="1"/>
      <c r="V142" s="1"/>
      <c r="W142" s="1"/>
      <c r="X142" s="1"/>
      <c r="Y142" s="1"/>
      <c r="Z142" s="1"/>
    </row>
    <row r="143" spans="1:26" ht="14.25" customHeight="1" x14ac:dyDescent="0.2">
      <c r="A143" s="69"/>
      <c r="B143" s="17">
        <v>133</v>
      </c>
      <c r="C143" s="6" t="s">
        <v>1455</v>
      </c>
      <c r="D143" s="6" t="s">
        <v>383</v>
      </c>
      <c r="E143" s="15" t="s">
        <v>384</v>
      </c>
      <c r="F143" s="15" t="s">
        <v>383</v>
      </c>
      <c r="G143" s="16" t="s">
        <v>65</v>
      </c>
      <c r="H143" s="16" t="s">
        <v>51</v>
      </c>
      <c r="I143" s="15" t="s">
        <v>51</v>
      </c>
      <c r="J143" s="15"/>
      <c r="K143" s="1"/>
      <c r="L143" s="1"/>
      <c r="M143" s="1"/>
      <c r="N143" s="1"/>
      <c r="O143" s="1"/>
      <c r="P143" s="1"/>
      <c r="Q143" s="1"/>
      <c r="R143" s="1"/>
      <c r="S143" s="1"/>
      <c r="T143" s="1"/>
      <c r="U143" s="1"/>
      <c r="V143" s="1"/>
      <c r="W143" s="1"/>
      <c r="X143" s="1"/>
      <c r="Y143" s="1"/>
      <c r="Z143" s="1"/>
    </row>
    <row r="144" spans="1:26" ht="14.25" customHeight="1" x14ac:dyDescent="0.2">
      <c r="A144" s="69"/>
      <c r="B144" s="17">
        <v>134</v>
      </c>
      <c r="C144" s="6" t="s">
        <v>1455</v>
      </c>
      <c r="D144" s="6" t="s">
        <v>385</v>
      </c>
      <c r="E144" s="15" t="s">
        <v>386</v>
      </c>
      <c r="F144" s="15" t="s">
        <v>387</v>
      </c>
      <c r="G144" s="16" t="s">
        <v>65</v>
      </c>
      <c r="H144" s="16" t="s">
        <v>51</v>
      </c>
      <c r="I144" s="15" t="s">
        <v>51</v>
      </c>
      <c r="J144" s="15"/>
      <c r="K144" s="1"/>
      <c r="L144" s="1"/>
      <c r="M144" s="1"/>
      <c r="N144" s="1"/>
      <c r="O144" s="1"/>
      <c r="P144" s="1"/>
      <c r="Q144" s="1"/>
      <c r="R144" s="1"/>
      <c r="S144" s="1"/>
      <c r="T144" s="1"/>
      <c r="U144" s="1"/>
      <c r="V144" s="1"/>
      <c r="W144" s="1"/>
      <c r="X144" s="1"/>
      <c r="Y144" s="1"/>
      <c r="Z144" s="1"/>
    </row>
    <row r="145" spans="1:26" ht="14.25" customHeight="1" x14ac:dyDescent="0.2">
      <c r="A145" s="69"/>
      <c r="B145" s="17">
        <v>135</v>
      </c>
      <c r="C145" s="6" t="s">
        <v>1455</v>
      </c>
      <c r="D145" s="6" t="s">
        <v>388</v>
      </c>
      <c r="E145" s="15" t="s">
        <v>389</v>
      </c>
      <c r="F145" s="15" t="s">
        <v>388</v>
      </c>
      <c r="G145" s="16" t="s">
        <v>65</v>
      </c>
      <c r="H145" s="16" t="s">
        <v>51</v>
      </c>
      <c r="I145" s="15" t="s">
        <v>51</v>
      </c>
      <c r="J145" s="15"/>
      <c r="K145" s="1"/>
      <c r="L145" s="1"/>
      <c r="M145" s="1"/>
      <c r="N145" s="1"/>
      <c r="O145" s="1"/>
      <c r="P145" s="1"/>
      <c r="Q145" s="1"/>
      <c r="R145" s="1"/>
      <c r="S145" s="1"/>
      <c r="T145" s="1"/>
      <c r="U145" s="1"/>
      <c r="V145" s="1"/>
      <c r="W145" s="1"/>
      <c r="X145" s="1"/>
      <c r="Y145" s="1"/>
      <c r="Z145" s="1"/>
    </row>
    <row r="146" spans="1:26" ht="48" x14ac:dyDescent="0.2">
      <c r="A146" s="69"/>
      <c r="B146" s="17">
        <v>136</v>
      </c>
      <c r="C146" s="6" t="s">
        <v>1455</v>
      </c>
      <c r="D146" s="18" t="s">
        <v>390</v>
      </c>
      <c r="E146" s="15" t="s">
        <v>391</v>
      </c>
      <c r="F146" s="15" t="s">
        <v>392</v>
      </c>
      <c r="G146" s="16" t="s">
        <v>65</v>
      </c>
      <c r="H146" s="16" t="s">
        <v>51</v>
      </c>
      <c r="I146" s="15" t="s">
        <v>51</v>
      </c>
      <c r="J146" s="15"/>
      <c r="K146" s="1"/>
      <c r="L146" s="1"/>
      <c r="M146" s="1"/>
      <c r="N146" s="1"/>
      <c r="O146" s="1"/>
      <c r="P146" s="1"/>
      <c r="Q146" s="1"/>
      <c r="R146" s="1"/>
      <c r="S146" s="1"/>
      <c r="T146" s="1"/>
      <c r="U146" s="1"/>
      <c r="V146" s="1"/>
      <c r="W146" s="1"/>
      <c r="X146" s="1"/>
      <c r="Y146" s="1"/>
      <c r="Z146" s="1"/>
    </row>
    <row r="147" spans="1:26" ht="14.25" hidden="1" customHeight="1" x14ac:dyDescent="0.2">
      <c r="A147" s="69"/>
      <c r="B147" s="17">
        <v>137</v>
      </c>
      <c r="C147" s="6" t="s">
        <v>1455</v>
      </c>
      <c r="D147" s="6" t="s">
        <v>393</v>
      </c>
      <c r="E147" s="15" t="s">
        <v>394</v>
      </c>
      <c r="F147" s="15" t="s">
        <v>393</v>
      </c>
      <c r="G147" s="16" t="s">
        <v>65</v>
      </c>
      <c r="H147" s="16" t="s">
        <v>37</v>
      </c>
      <c r="I147" s="15" t="s">
        <v>51</v>
      </c>
      <c r="J147" s="15"/>
      <c r="K147" s="1"/>
      <c r="L147" s="1"/>
      <c r="M147" s="1"/>
      <c r="N147" s="1"/>
      <c r="O147" s="1"/>
      <c r="P147" s="1"/>
      <c r="Q147" s="1"/>
      <c r="R147" s="1"/>
      <c r="S147" s="1"/>
      <c r="T147" s="1"/>
      <c r="U147" s="1"/>
      <c r="V147" s="1"/>
      <c r="W147" s="1"/>
      <c r="X147" s="1"/>
      <c r="Y147" s="1"/>
      <c r="Z147" s="1"/>
    </row>
    <row r="148" spans="1:26" ht="14.25" customHeight="1" x14ac:dyDescent="0.2">
      <c r="A148" s="69"/>
      <c r="B148" s="17">
        <v>138</v>
      </c>
      <c r="C148" s="6" t="s">
        <v>1455</v>
      </c>
      <c r="D148" s="6" t="s">
        <v>395</v>
      </c>
      <c r="E148" s="15" t="s">
        <v>396</v>
      </c>
      <c r="F148" s="15" t="s">
        <v>395</v>
      </c>
      <c r="G148" s="16" t="s">
        <v>65</v>
      </c>
      <c r="H148" s="16" t="s">
        <v>51</v>
      </c>
      <c r="I148" s="15" t="s">
        <v>51</v>
      </c>
      <c r="J148" s="15"/>
      <c r="K148" s="1"/>
      <c r="L148" s="1"/>
      <c r="M148" s="1"/>
      <c r="N148" s="1"/>
      <c r="O148" s="1"/>
      <c r="P148" s="1"/>
      <c r="Q148" s="1"/>
      <c r="R148" s="1"/>
      <c r="S148" s="1"/>
      <c r="T148" s="1"/>
      <c r="U148" s="1"/>
      <c r="V148" s="1"/>
      <c r="W148" s="1"/>
      <c r="X148" s="1"/>
      <c r="Y148" s="1"/>
      <c r="Z148" s="1"/>
    </row>
    <row r="149" spans="1:26" ht="14.25" hidden="1" customHeight="1" x14ac:dyDescent="0.2">
      <c r="A149" s="69"/>
      <c r="B149" s="17">
        <v>139</v>
      </c>
      <c r="C149" s="6" t="s">
        <v>1455</v>
      </c>
      <c r="D149" s="6" t="s">
        <v>397</v>
      </c>
      <c r="E149" s="15" t="s">
        <v>398</v>
      </c>
      <c r="F149" s="15" t="s">
        <v>397</v>
      </c>
      <c r="G149" s="16" t="s">
        <v>65</v>
      </c>
      <c r="H149" s="16" t="s">
        <v>37</v>
      </c>
      <c r="I149" s="15" t="s">
        <v>51</v>
      </c>
      <c r="J149" s="15"/>
      <c r="K149" s="1"/>
      <c r="L149" s="1"/>
      <c r="M149" s="1"/>
      <c r="N149" s="1"/>
      <c r="O149" s="1"/>
      <c r="P149" s="1"/>
      <c r="Q149" s="1"/>
      <c r="R149" s="1"/>
      <c r="S149" s="1"/>
      <c r="T149" s="1"/>
      <c r="U149" s="1"/>
      <c r="V149" s="1"/>
      <c r="W149" s="1"/>
      <c r="X149" s="1"/>
      <c r="Y149" s="1"/>
      <c r="Z149" s="1"/>
    </row>
    <row r="150" spans="1:26" ht="14.25" customHeight="1" x14ac:dyDescent="0.2">
      <c r="A150" s="69"/>
      <c r="B150" s="17">
        <v>140</v>
      </c>
      <c r="C150" s="6" t="s">
        <v>1455</v>
      </c>
      <c r="D150" s="6" t="s">
        <v>399</v>
      </c>
      <c r="E150" s="15" t="s">
        <v>400</v>
      </c>
      <c r="F150" s="15" t="s">
        <v>399</v>
      </c>
      <c r="G150" s="16" t="s">
        <v>65</v>
      </c>
      <c r="H150" s="16" t="s">
        <v>51</v>
      </c>
      <c r="I150" s="15" t="s">
        <v>51</v>
      </c>
      <c r="J150" s="15"/>
      <c r="K150" s="1"/>
      <c r="L150" s="1"/>
      <c r="M150" s="1"/>
      <c r="N150" s="1"/>
      <c r="O150" s="1"/>
      <c r="P150" s="1"/>
      <c r="Q150" s="1"/>
      <c r="R150" s="1"/>
      <c r="S150" s="1"/>
      <c r="T150" s="1"/>
      <c r="U150" s="1"/>
      <c r="V150" s="1"/>
      <c r="W150" s="1"/>
      <c r="X150" s="1"/>
      <c r="Y150" s="1"/>
      <c r="Z150" s="1"/>
    </row>
    <row r="151" spans="1:26" ht="14.25" customHeight="1" x14ac:dyDescent="0.2">
      <c r="A151" s="69"/>
      <c r="B151" s="17">
        <v>141</v>
      </c>
      <c r="C151" s="6" t="s">
        <v>1455</v>
      </c>
      <c r="D151" s="6" t="s">
        <v>401</v>
      </c>
      <c r="E151" s="15" t="s">
        <v>402</v>
      </c>
      <c r="F151" s="15" t="s">
        <v>401</v>
      </c>
      <c r="G151" s="16" t="s">
        <v>65</v>
      </c>
      <c r="H151" s="16" t="s">
        <v>51</v>
      </c>
      <c r="I151" s="15" t="s">
        <v>51</v>
      </c>
      <c r="J151" s="15"/>
      <c r="K151" s="1"/>
      <c r="L151" s="1"/>
      <c r="M151" s="1"/>
      <c r="N151" s="1"/>
      <c r="O151" s="1"/>
      <c r="P151" s="1"/>
      <c r="Q151" s="1"/>
      <c r="R151" s="1"/>
      <c r="S151" s="1"/>
      <c r="T151" s="1"/>
      <c r="U151" s="1"/>
      <c r="V151" s="1"/>
      <c r="W151" s="1"/>
      <c r="X151" s="1"/>
      <c r="Y151" s="1"/>
      <c r="Z151" s="1"/>
    </row>
    <row r="152" spans="1:26" ht="14.25" customHeight="1" x14ac:dyDescent="0.2">
      <c r="A152" s="69"/>
      <c r="B152" s="17">
        <v>142</v>
      </c>
      <c r="C152" s="6" t="s">
        <v>1455</v>
      </c>
      <c r="D152" s="6" t="s">
        <v>403</v>
      </c>
      <c r="E152" s="15" t="s">
        <v>404</v>
      </c>
      <c r="F152" s="15" t="s">
        <v>405</v>
      </c>
      <c r="G152" s="16" t="s">
        <v>65</v>
      </c>
      <c r="H152" s="16" t="s">
        <v>51</v>
      </c>
      <c r="I152" s="15" t="s">
        <v>51</v>
      </c>
      <c r="J152" s="15"/>
      <c r="K152" s="1"/>
      <c r="L152" s="1"/>
      <c r="M152" s="1"/>
      <c r="N152" s="1"/>
      <c r="O152" s="1"/>
      <c r="P152" s="1"/>
      <c r="Q152" s="1"/>
      <c r="R152" s="1"/>
      <c r="S152" s="1"/>
      <c r="T152" s="1"/>
      <c r="U152" s="1"/>
      <c r="V152" s="1"/>
      <c r="W152" s="1"/>
      <c r="X152" s="1"/>
      <c r="Y152" s="1"/>
      <c r="Z152" s="1"/>
    </row>
    <row r="153" spans="1:26" ht="16" x14ac:dyDescent="0.2">
      <c r="A153" s="69"/>
      <c r="B153" s="17">
        <v>143</v>
      </c>
      <c r="C153" s="6" t="s">
        <v>1455</v>
      </c>
      <c r="D153" s="18" t="s">
        <v>406</v>
      </c>
      <c r="E153" s="15" t="s">
        <v>407</v>
      </c>
      <c r="F153" s="15" t="s">
        <v>408</v>
      </c>
      <c r="G153" s="16" t="s">
        <v>65</v>
      </c>
      <c r="H153" s="16" t="s">
        <v>51</v>
      </c>
      <c r="I153" s="15" t="s">
        <v>51</v>
      </c>
      <c r="J153" s="15"/>
      <c r="K153" s="1"/>
      <c r="L153" s="1"/>
      <c r="M153" s="1"/>
      <c r="N153" s="1"/>
      <c r="O153" s="1"/>
      <c r="P153" s="1"/>
      <c r="Q153" s="1"/>
      <c r="R153" s="1"/>
      <c r="S153" s="1"/>
      <c r="T153" s="1"/>
      <c r="U153" s="1"/>
      <c r="V153" s="1"/>
      <c r="W153" s="1"/>
      <c r="X153" s="1"/>
      <c r="Y153" s="1"/>
      <c r="Z153" s="1"/>
    </row>
    <row r="154" spans="1:26" ht="14.25" hidden="1" customHeight="1" x14ac:dyDescent="0.2">
      <c r="A154" s="69"/>
      <c r="B154" s="17">
        <v>144</v>
      </c>
      <c r="C154" s="6" t="s">
        <v>1455</v>
      </c>
      <c r="D154" s="6" t="s">
        <v>409</v>
      </c>
      <c r="E154" s="15" t="s">
        <v>410</v>
      </c>
      <c r="F154" s="15" t="s">
        <v>409</v>
      </c>
      <c r="G154" s="16" t="s">
        <v>65</v>
      </c>
      <c r="H154" s="16" t="s">
        <v>37</v>
      </c>
      <c r="I154" s="15" t="s">
        <v>51</v>
      </c>
      <c r="J154" s="15"/>
      <c r="K154" s="1"/>
      <c r="L154" s="1"/>
      <c r="M154" s="1"/>
      <c r="N154" s="1"/>
      <c r="O154" s="1"/>
      <c r="P154" s="1"/>
      <c r="Q154" s="1"/>
      <c r="R154" s="1"/>
      <c r="S154" s="1"/>
      <c r="T154" s="1"/>
      <c r="U154" s="1"/>
      <c r="V154" s="1"/>
      <c r="W154" s="1"/>
      <c r="X154" s="1"/>
      <c r="Y154" s="1"/>
      <c r="Z154" s="1"/>
    </row>
    <row r="155" spans="1:26" ht="14.25" customHeight="1" x14ac:dyDescent="0.2">
      <c r="A155" s="69"/>
      <c r="B155" s="17">
        <v>145</v>
      </c>
      <c r="C155" s="6" t="s">
        <v>1455</v>
      </c>
      <c r="D155" s="6" t="s">
        <v>411</v>
      </c>
      <c r="E155" s="15" t="s">
        <v>412</v>
      </c>
      <c r="F155" s="15" t="s">
        <v>411</v>
      </c>
      <c r="G155" s="16" t="s">
        <v>65</v>
      </c>
      <c r="H155" s="16" t="s">
        <v>51</v>
      </c>
      <c r="I155" s="15" t="s">
        <v>51</v>
      </c>
      <c r="J155" s="15"/>
      <c r="K155" s="1"/>
      <c r="L155" s="1"/>
      <c r="M155" s="1"/>
      <c r="N155" s="1"/>
      <c r="O155" s="1"/>
      <c r="P155" s="1"/>
      <c r="Q155" s="1"/>
      <c r="R155" s="1"/>
      <c r="S155" s="1"/>
      <c r="T155" s="1"/>
      <c r="U155" s="1"/>
      <c r="V155" s="1"/>
      <c r="W155" s="1"/>
      <c r="X155" s="1"/>
      <c r="Y155" s="1"/>
      <c r="Z155" s="1"/>
    </row>
    <row r="156" spans="1:26" ht="14.25" hidden="1" customHeight="1" x14ac:dyDescent="0.2">
      <c r="A156" s="69"/>
      <c r="B156" s="17">
        <v>146</v>
      </c>
      <c r="C156" s="6" t="s">
        <v>1455</v>
      </c>
      <c r="D156" s="6" t="s">
        <v>413</v>
      </c>
      <c r="E156" s="15" t="s">
        <v>414</v>
      </c>
      <c r="F156" s="15" t="s">
        <v>415</v>
      </c>
      <c r="G156" s="16" t="s">
        <v>65</v>
      </c>
      <c r="H156" s="16" t="s">
        <v>37</v>
      </c>
      <c r="I156" s="15" t="s">
        <v>51</v>
      </c>
      <c r="J156" s="15" t="s">
        <v>358</v>
      </c>
      <c r="K156" s="1"/>
      <c r="L156" s="1"/>
      <c r="M156" s="1"/>
      <c r="N156" s="1"/>
      <c r="O156" s="1"/>
      <c r="P156" s="1"/>
      <c r="Q156" s="1"/>
      <c r="R156" s="1"/>
      <c r="S156" s="1"/>
      <c r="T156" s="1"/>
      <c r="U156" s="1"/>
      <c r="V156" s="1"/>
      <c r="W156" s="1"/>
      <c r="X156" s="1"/>
      <c r="Y156" s="1"/>
      <c r="Z156" s="1"/>
    </row>
    <row r="157" spans="1:26" ht="14.25" hidden="1" customHeight="1" x14ac:dyDescent="0.2">
      <c r="A157" s="69"/>
      <c r="B157" s="17">
        <v>147</v>
      </c>
      <c r="C157" s="6" t="s">
        <v>1455</v>
      </c>
      <c r="D157" s="6" t="s">
        <v>416</v>
      </c>
      <c r="E157" s="15" t="s">
        <v>417</v>
      </c>
      <c r="F157" s="15" t="s">
        <v>418</v>
      </c>
      <c r="G157" s="16" t="s">
        <v>65</v>
      </c>
      <c r="H157" s="16" t="s">
        <v>37</v>
      </c>
      <c r="I157" s="15" t="s">
        <v>51</v>
      </c>
      <c r="J157" s="15"/>
      <c r="K157" s="1"/>
      <c r="L157" s="1"/>
      <c r="M157" s="1"/>
      <c r="N157" s="1"/>
      <c r="O157" s="1"/>
      <c r="P157" s="1"/>
      <c r="Q157" s="1"/>
      <c r="R157" s="1"/>
      <c r="S157" s="1"/>
      <c r="T157" s="1"/>
      <c r="U157" s="1"/>
      <c r="V157" s="1"/>
      <c r="W157" s="1"/>
      <c r="X157" s="1"/>
      <c r="Y157" s="1"/>
      <c r="Z157" s="1"/>
    </row>
    <row r="158" spans="1:26" ht="14.25" customHeight="1" x14ac:dyDescent="0.2">
      <c r="A158" s="69"/>
      <c r="B158" s="17">
        <v>148</v>
      </c>
      <c r="C158" s="6" t="s">
        <v>1455</v>
      </c>
      <c r="D158" s="6" t="s">
        <v>419</v>
      </c>
      <c r="E158" s="15" t="s">
        <v>420</v>
      </c>
      <c r="F158" s="15" t="s">
        <v>421</v>
      </c>
      <c r="G158" s="16" t="s">
        <v>65</v>
      </c>
      <c r="H158" s="16" t="s">
        <v>51</v>
      </c>
      <c r="I158" s="15" t="s">
        <v>51</v>
      </c>
      <c r="J158" s="15"/>
      <c r="K158" s="1"/>
      <c r="L158" s="1"/>
      <c r="M158" s="1"/>
      <c r="N158" s="1"/>
      <c r="O158" s="1"/>
      <c r="P158" s="1"/>
      <c r="Q158" s="1"/>
      <c r="R158" s="1"/>
      <c r="S158" s="1"/>
      <c r="T158" s="1"/>
      <c r="U158" s="1"/>
      <c r="V158" s="1"/>
      <c r="W158" s="1"/>
      <c r="X158" s="1"/>
      <c r="Y158" s="1"/>
      <c r="Z158" s="1"/>
    </row>
    <row r="159" spans="1:26" ht="14.25" hidden="1" customHeight="1" x14ac:dyDescent="0.2">
      <c r="A159" s="69"/>
      <c r="B159" s="17">
        <v>149</v>
      </c>
      <c r="C159" s="6" t="s">
        <v>1455</v>
      </c>
      <c r="D159" s="18" t="s">
        <v>422</v>
      </c>
      <c r="E159" s="15" t="s">
        <v>423</v>
      </c>
      <c r="F159" s="15" t="s">
        <v>424</v>
      </c>
      <c r="G159" s="16" t="s">
        <v>65</v>
      </c>
      <c r="H159" s="16" t="s">
        <v>37</v>
      </c>
      <c r="I159" s="15" t="s">
        <v>51</v>
      </c>
      <c r="J159" s="15"/>
      <c r="K159" s="1"/>
      <c r="L159" s="1"/>
      <c r="M159" s="1"/>
      <c r="N159" s="1"/>
      <c r="O159" s="1"/>
      <c r="P159" s="1"/>
      <c r="Q159" s="1"/>
      <c r="R159" s="1"/>
      <c r="S159" s="1"/>
      <c r="T159" s="1"/>
      <c r="U159" s="1"/>
      <c r="V159" s="1"/>
      <c r="W159" s="1"/>
      <c r="X159" s="1"/>
      <c r="Y159" s="1"/>
      <c r="Z159" s="1"/>
    </row>
    <row r="160" spans="1:26" ht="14.25" hidden="1" customHeight="1" x14ac:dyDescent="0.2">
      <c r="A160" s="69"/>
      <c r="B160" s="17">
        <v>150</v>
      </c>
      <c r="C160" s="6" t="s">
        <v>1455</v>
      </c>
      <c r="D160" s="6" t="s">
        <v>425</v>
      </c>
      <c r="E160" s="15" t="s">
        <v>426</v>
      </c>
      <c r="F160" s="15" t="s">
        <v>425</v>
      </c>
      <c r="G160" s="16" t="s">
        <v>65</v>
      </c>
      <c r="H160" s="16" t="s">
        <v>37</v>
      </c>
      <c r="I160" s="15" t="s">
        <v>51</v>
      </c>
      <c r="J160" s="15"/>
      <c r="K160" s="1"/>
      <c r="L160" s="1"/>
      <c r="M160" s="1"/>
      <c r="N160" s="1"/>
      <c r="O160" s="1"/>
      <c r="P160" s="1"/>
      <c r="Q160" s="1"/>
      <c r="R160" s="1"/>
      <c r="S160" s="1"/>
      <c r="T160" s="1"/>
      <c r="U160" s="1"/>
      <c r="V160" s="1"/>
      <c r="W160" s="1"/>
      <c r="X160" s="1"/>
      <c r="Y160" s="1"/>
      <c r="Z160" s="1"/>
    </row>
    <row r="161" spans="1:26" ht="14.25" customHeight="1" x14ac:dyDescent="0.2">
      <c r="A161" s="69"/>
      <c r="B161" s="17">
        <v>151</v>
      </c>
      <c r="C161" s="6" t="s">
        <v>1455</v>
      </c>
      <c r="D161" s="18" t="s">
        <v>427</v>
      </c>
      <c r="E161" s="15" t="s">
        <v>428</v>
      </c>
      <c r="F161" s="15" t="s">
        <v>429</v>
      </c>
      <c r="G161" s="16" t="s">
        <v>65</v>
      </c>
      <c r="H161" s="16" t="s">
        <v>51</v>
      </c>
      <c r="I161" s="15" t="s">
        <v>51</v>
      </c>
      <c r="J161" s="15"/>
      <c r="K161" s="1"/>
      <c r="L161" s="1"/>
      <c r="M161" s="1"/>
      <c r="N161" s="1"/>
      <c r="O161" s="1"/>
      <c r="P161" s="1"/>
      <c r="Q161" s="1"/>
      <c r="R161" s="1"/>
      <c r="S161" s="1"/>
      <c r="T161" s="1"/>
      <c r="U161" s="1"/>
      <c r="V161" s="1"/>
      <c r="W161" s="1"/>
      <c r="X161" s="1"/>
      <c r="Y161" s="1"/>
      <c r="Z161" s="1"/>
    </row>
    <row r="162" spans="1:26" ht="32" x14ac:dyDescent="0.2">
      <c r="A162" s="69"/>
      <c r="B162" s="17">
        <v>152</v>
      </c>
      <c r="C162" s="6" t="s">
        <v>1455</v>
      </c>
      <c r="D162" s="18" t="s">
        <v>430</v>
      </c>
      <c r="E162" s="15" t="s">
        <v>431</v>
      </c>
      <c r="F162" s="15" t="s">
        <v>432</v>
      </c>
      <c r="G162" s="16" t="s">
        <v>65</v>
      </c>
      <c r="H162" s="16" t="s">
        <v>51</v>
      </c>
      <c r="I162" s="15" t="s">
        <v>51</v>
      </c>
      <c r="J162" s="15"/>
      <c r="K162" s="1"/>
      <c r="L162" s="1"/>
      <c r="M162" s="1"/>
      <c r="N162" s="1"/>
      <c r="O162" s="1"/>
      <c r="P162" s="1"/>
      <c r="Q162" s="1"/>
      <c r="R162" s="1"/>
      <c r="S162" s="1"/>
      <c r="T162" s="1"/>
      <c r="U162" s="1"/>
      <c r="V162" s="1"/>
      <c r="W162" s="1"/>
      <c r="X162" s="1"/>
      <c r="Y162" s="1"/>
      <c r="Z162" s="1"/>
    </row>
    <row r="163" spans="1:26" ht="14.25" hidden="1" customHeight="1" x14ac:dyDescent="0.2">
      <c r="A163" s="69"/>
      <c r="B163" s="17">
        <v>153</v>
      </c>
      <c r="C163" s="6" t="s">
        <v>1455</v>
      </c>
      <c r="D163" s="6" t="s">
        <v>433</v>
      </c>
      <c r="E163" s="15" t="s">
        <v>434</v>
      </c>
      <c r="F163" s="15" t="s">
        <v>435</v>
      </c>
      <c r="G163" s="16" t="s">
        <v>65</v>
      </c>
      <c r="H163" s="16" t="s">
        <v>37</v>
      </c>
      <c r="I163" s="15" t="s">
        <v>51</v>
      </c>
      <c r="J163" s="15"/>
      <c r="K163" s="1"/>
      <c r="L163" s="1"/>
      <c r="M163" s="1"/>
      <c r="N163" s="1"/>
      <c r="O163" s="1"/>
      <c r="P163" s="1"/>
      <c r="Q163" s="1"/>
      <c r="R163" s="1"/>
      <c r="S163" s="1"/>
      <c r="T163" s="1"/>
      <c r="U163" s="1"/>
      <c r="V163" s="1"/>
      <c r="W163" s="1"/>
      <c r="X163" s="1"/>
      <c r="Y163" s="1"/>
      <c r="Z163" s="1"/>
    </row>
    <row r="164" spans="1:26" ht="14.25" hidden="1" customHeight="1" x14ac:dyDescent="0.2">
      <c r="A164" s="69"/>
      <c r="B164" s="17">
        <v>154</v>
      </c>
      <c r="C164" s="6" t="s">
        <v>1455</v>
      </c>
      <c r="D164" s="6" t="s">
        <v>436</v>
      </c>
      <c r="E164" s="15" t="s">
        <v>437</v>
      </c>
      <c r="F164" s="15" t="s">
        <v>436</v>
      </c>
      <c r="G164" s="16" t="s">
        <v>65</v>
      </c>
      <c r="H164" s="16" t="s">
        <v>37</v>
      </c>
      <c r="I164" s="15" t="s">
        <v>51</v>
      </c>
      <c r="J164" s="15"/>
      <c r="K164" s="1"/>
      <c r="L164" s="1"/>
      <c r="M164" s="1"/>
      <c r="N164" s="1"/>
      <c r="O164" s="1"/>
      <c r="P164" s="1"/>
      <c r="Q164" s="1"/>
      <c r="R164" s="1"/>
      <c r="S164" s="1"/>
      <c r="T164" s="1"/>
      <c r="U164" s="1"/>
      <c r="V164" s="1"/>
      <c r="W164" s="1"/>
      <c r="X164" s="1"/>
      <c r="Y164" s="1"/>
      <c r="Z164" s="1"/>
    </row>
    <row r="165" spans="1:26" ht="14.25" hidden="1" customHeight="1" x14ac:dyDescent="0.2">
      <c r="A165" s="69"/>
      <c r="B165" s="17">
        <v>155</v>
      </c>
      <c r="C165" s="6" t="s">
        <v>1455</v>
      </c>
      <c r="D165" s="6" t="s">
        <v>438</v>
      </c>
      <c r="E165" s="15" t="s">
        <v>439</v>
      </c>
      <c r="F165" s="15" t="s">
        <v>438</v>
      </c>
      <c r="G165" s="16" t="s">
        <v>65</v>
      </c>
      <c r="H165" s="16" t="s">
        <v>37</v>
      </c>
      <c r="I165" s="15" t="s">
        <v>51</v>
      </c>
      <c r="J165" s="15"/>
      <c r="K165" s="1"/>
      <c r="L165" s="1"/>
      <c r="M165" s="1"/>
      <c r="N165" s="1"/>
      <c r="O165" s="1"/>
      <c r="P165" s="1"/>
      <c r="Q165" s="1"/>
      <c r="R165" s="1"/>
      <c r="S165" s="1"/>
      <c r="T165" s="1"/>
      <c r="U165" s="1"/>
      <c r="V165" s="1"/>
      <c r="W165" s="1"/>
      <c r="X165" s="1"/>
      <c r="Y165" s="1"/>
      <c r="Z165" s="1"/>
    </row>
    <row r="166" spans="1:26" ht="128" x14ac:dyDescent="0.2">
      <c r="A166" s="69"/>
      <c r="B166" s="17">
        <v>156</v>
      </c>
      <c r="C166" s="6" t="s">
        <v>1455</v>
      </c>
      <c r="D166" s="18" t="s">
        <v>440</v>
      </c>
      <c r="E166" s="15" t="s">
        <v>441</v>
      </c>
      <c r="F166" s="15" t="s">
        <v>442</v>
      </c>
      <c r="G166" s="16" t="s">
        <v>65</v>
      </c>
      <c r="H166" s="16" t="s">
        <v>51</v>
      </c>
      <c r="I166" s="15" t="s">
        <v>51</v>
      </c>
      <c r="J166" s="15"/>
      <c r="K166" s="1"/>
      <c r="L166" s="1"/>
      <c r="M166" s="1"/>
      <c r="N166" s="1"/>
      <c r="O166" s="1"/>
      <c r="P166" s="1"/>
      <c r="Q166" s="1"/>
      <c r="R166" s="1"/>
      <c r="S166" s="1"/>
      <c r="T166" s="1"/>
      <c r="U166" s="1"/>
      <c r="V166" s="1"/>
      <c r="W166" s="1"/>
      <c r="X166" s="1"/>
      <c r="Y166" s="1"/>
      <c r="Z166" s="1"/>
    </row>
    <row r="167" spans="1:26" ht="14.25" hidden="1" customHeight="1" x14ac:dyDescent="0.2">
      <c r="A167" s="69"/>
      <c r="B167" s="17">
        <v>157</v>
      </c>
      <c r="C167" s="6" t="s">
        <v>1455</v>
      </c>
      <c r="D167" s="6" t="s">
        <v>443</v>
      </c>
      <c r="E167" s="15" t="s">
        <v>444</v>
      </c>
      <c r="F167" s="15" t="s">
        <v>445</v>
      </c>
      <c r="G167" s="16" t="s">
        <v>65</v>
      </c>
      <c r="H167" s="16" t="s">
        <v>37</v>
      </c>
      <c r="I167" s="15" t="s">
        <v>51</v>
      </c>
      <c r="J167" s="15"/>
      <c r="K167" s="1"/>
      <c r="L167" s="1"/>
      <c r="M167" s="1"/>
      <c r="N167" s="1"/>
      <c r="O167" s="1"/>
      <c r="P167" s="1"/>
      <c r="Q167" s="1"/>
      <c r="R167" s="1"/>
      <c r="S167" s="1"/>
      <c r="T167" s="1"/>
      <c r="U167" s="1"/>
      <c r="V167" s="1"/>
      <c r="W167" s="1"/>
      <c r="X167" s="1"/>
      <c r="Y167" s="1"/>
      <c r="Z167" s="1"/>
    </row>
    <row r="168" spans="1:26" ht="14.25" customHeight="1" x14ac:dyDescent="0.2">
      <c r="A168" s="69"/>
      <c r="B168" s="17">
        <v>158</v>
      </c>
      <c r="C168" s="6" t="s">
        <v>1455</v>
      </c>
      <c r="D168" s="6" t="s">
        <v>446</v>
      </c>
      <c r="E168" s="15" t="s">
        <v>447</v>
      </c>
      <c r="F168" s="15" t="s">
        <v>446</v>
      </c>
      <c r="G168" s="16" t="s">
        <v>65</v>
      </c>
      <c r="H168" s="16" t="s">
        <v>51</v>
      </c>
      <c r="I168" s="15" t="s">
        <v>51</v>
      </c>
      <c r="J168" s="15"/>
      <c r="K168" s="1"/>
      <c r="L168" s="1"/>
      <c r="M168" s="1"/>
      <c r="N168" s="1"/>
      <c r="O168" s="1"/>
      <c r="P168" s="1"/>
      <c r="Q168" s="1"/>
      <c r="R168" s="1"/>
      <c r="S168" s="1"/>
      <c r="T168" s="1"/>
      <c r="U168" s="1"/>
      <c r="V168" s="1"/>
      <c r="W168" s="1"/>
      <c r="X168" s="1"/>
      <c r="Y168" s="1"/>
      <c r="Z168" s="1"/>
    </row>
    <row r="169" spans="1:26" ht="14.25" hidden="1" customHeight="1" x14ac:dyDescent="0.2">
      <c r="A169" s="69"/>
      <c r="B169" s="17">
        <v>159</v>
      </c>
      <c r="C169" s="6" t="s">
        <v>1455</v>
      </c>
      <c r="D169" s="6" t="s">
        <v>448</v>
      </c>
      <c r="E169" s="15" t="s">
        <v>449</v>
      </c>
      <c r="F169" s="15" t="s">
        <v>450</v>
      </c>
      <c r="G169" s="16" t="s">
        <v>65</v>
      </c>
      <c r="H169" s="16" t="s">
        <v>37</v>
      </c>
      <c r="I169" s="15" t="s">
        <v>51</v>
      </c>
      <c r="J169" s="15"/>
      <c r="K169" s="1"/>
      <c r="L169" s="1"/>
      <c r="M169" s="1"/>
      <c r="N169" s="1"/>
      <c r="O169" s="1"/>
      <c r="P169" s="1"/>
      <c r="Q169" s="1"/>
      <c r="R169" s="1"/>
      <c r="S169" s="1"/>
      <c r="T169" s="1"/>
      <c r="U169" s="1"/>
      <c r="V169" s="1"/>
      <c r="W169" s="1"/>
      <c r="X169" s="1"/>
      <c r="Y169" s="1"/>
      <c r="Z169" s="1"/>
    </row>
    <row r="170" spans="1:26" ht="14.25" hidden="1" customHeight="1" x14ac:dyDescent="0.2">
      <c r="A170" s="69"/>
      <c r="B170" s="17">
        <v>160</v>
      </c>
      <c r="C170" s="6" t="s">
        <v>1455</v>
      </c>
      <c r="D170" s="6" t="s">
        <v>451</v>
      </c>
      <c r="E170" s="15" t="s">
        <v>452</v>
      </c>
      <c r="F170" s="15" t="s">
        <v>451</v>
      </c>
      <c r="G170" s="16" t="s">
        <v>65</v>
      </c>
      <c r="H170" s="16" t="s">
        <v>37</v>
      </c>
      <c r="I170" s="15" t="s">
        <v>51</v>
      </c>
      <c r="J170" s="15"/>
      <c r="K170" s="1"/>
      <c r="L170" s="1"/>
      <c r="M170" s="1"/>
      <c r="N170" s="1"/>
      <c r="O170" s="1"/>
      <c r="P170" s="1"/>
      <c r="Q170" s="1"/>
      <c r="R170" s="1"/>
      <c r="S170" s="1"/>
      <c r="T170" s="1"/>
      <c r="U170" s="1"/>
      <c r="V170" s="1"/>
      <c r="W170" s="1"/>
      <c r="X170" s="1"/>
      <c r="Y170" s="1"/>
      <c r="Z170" s="1"/>
    </row>
    <row r="171" spans="1:26" ht="14.25" hidden="1" customHeight="1" x14ac:dyDescent="0.2">
      <c r="A171" s="69"/>
      <c r="B171" s="17">
        <v>161</v>
      </c>
      <c r="C171" s="6" t="s">
        <v>1455</v>
      </c>
      <c r="D171" s="6" t="s">
        <v>453</v>
      </c>
      <c r="E171" s="15" t="s">
        <v>454</v>
      </c>
      <c r="F171" s="15" t="s">
        <v>455</v>
      </c>
      <c r="G171" s="16" t="s">
        <v>65</v>
      </c>
      <c r="H171" s="16" t="s">
        <v>37</v>
      </c>
      <c r="I171" s="15" t="s">
        <v>51</v>
      </c>
      <c r="J171" s="15" t="s">
        <v>456</v>
      </c>
      <c r="K171" s="1"/>
      <c r="L171" s="1"/>
      <c r="M171" s="1"/>
      <c r="N171" s="1"/>
      <c r="O171" s="1"/>
      <c r="P171" s="1"/>
      <c r="Q171" s="1"/>
      <c r="R171" s="1"/>
      <c r="S171" s="1"/>
      <c r="T171" s="1"/>
      <c r="U171" s="1"/>
      <c r="V171" s="1"/>
      <c r="W171" s="1"/>
      <c r="X171" s="1"/>
      <c r="Y171" s="1"/>
      <c r="Z171" s="1"/>
    </row>
    <row r="172" spans="1:26" ht="14.25" customHeight="1" x14ac:dyDescent="0.2">
      <c r="A172" s="69"/>
      <c r="B172" s="17">
        <v>162</v>
      </c>
      <c r="C172" s="6" t="s">
        <v>1455</v>
      </c>
      <c r="D172" s="6" t="s">
        <v>457</v>
      </c>
      <c r="E172" s="15" t="s">
        <v>458</v>
      </c>
      <c r="F172" s="15" t="s">
        <v>459</v>
      </c>
      <c r="G172" s="16" t="s">
        <v>65</v>
      </c>
      <c r="H172" s="16" t="s">
        <v>51</v>
      </c>
      <c r="I172" s="15" t="s">
        <v>51</v>
      </c>
      <c r="J172" s="15"/>
      <c r="K172" s="1"/>
      <c r="L172" s="1"/>
      <c r="M172" s="1"/>
      <c r="N172" s="1"/>
      <c r="O172" s="1"/>
      <c r="P172" s="1"/>
      <c r="Q172" s="1"/>
      <c r="R172" s="1"/>
      <c r="S172" s="1"/>
      <c r="T172" s="1"/>
      <c r="U172" s="1"/>
      <c r="V172" s="1"/>
      <c r="W172" s="1"/>
      <c r="X172" s="1"/>
      <c r="Y172" s="1"/>
      <c r="Z172" s="1"/>
    </row>
    <row r="173" spans="1:26" ht="14.25" hidden="1" customHeight="1" x14ac:dyDescent="0.2">
      <c r="A173" s="69"/>
      <c r="B173" s="17">
        <v>163</v>
      </c>
      <c r="C173" s="6" t="s">
        <v>1455</v>
      </c>
      <c r="D173" s="6" t="s">
        <v>460</v>
      </c>
      <c r="E173" s="15" t="s">
        <v>461</v>
      </c>
      <c r="F173" s="15" t="s">
        <v>460</v>
      </c>
      <c r="G173" s="16" t="s">
        <v>65</v>
      </c>
      <c r="H173" s="16" t="s">
        <v>37</v>
      </c>
      <c r="I173" s="15" t="s">
        <v>51</v>
      </c>
      <c r="J173" s="15" t="s">
        <v>462</v>
      </c>
      <c r="K173" s="1"/>
      <c r="L173" s="1"/>
      <c r="M173" s="1"/>
      <c r="N173" s="1"/>
      <c r="O173" s="1"/>
      <c r="P173" s="1"/>
      <c r="Q173" s="1"/>
      <c r="R173" s="1"/>
      <c r="S173" s="1"/>
      <c r="T173" s="1"/>
      <c r="U173" s="1"/>
      <c r="V173" s="1"/>
      <c r="W173" s="1"/>
      <c r="X173" s="1"/>
      <c r="Y173" s="1"/>
      <c r="Z173" s="1"/>
    </row>
    <row r="174" spans="1:26" ht="14.25" hidden="1" customHeight="1" x14ac:dyDescent="0.2">
      <c r="A174" s="69"/>
      <c r="B174" s="17">
        <v>164</v>
      </c>
      <c r="C174" s="6" t="s">
        <v>1455</v>
      </c>
      <c r="D174" s="6" t="s">
        <v>463</v>
      </c>
      <c r="E174" s="15" t="s">
        <v>464</v>
      </c>
      <c r="F174" s="15" t="s">
        <v>465</v>
      </c>
      <c r="G174" s="16" t="s">
        <v>65</v>
      </c>
      <c r="H174" s="16" t="s">
        <v>37</v>
      </c>
      <c r="I174" s="15" t="s">
        <v>51</v>
      </c>
      <c r="J174" s="15"/>
      <c r="K174" s="1"/>
      <c r="L174" s="1"/>
      <c r="M174" s="1"/>
      <c r="N174" s="1"/>
      <c r="O174" s="1"/>
      <c r="P174" s="1"/>
      <c r="Q174" s="1"/>
      <c r="R174" s="1"/>
      <c r="S174" s="1"/>
      <c r="T174" s="1"/>
      <c r="U174" s="1"/>
      <c r="V174" s="1"/>
      <c r="W174" s="1"/>
      <c r="X174" s="1"/>
      <c r="Y174" s="1"/>
      <c r="Z174" s="1"/>
    </row>
    <row r="175" spans="1:26" ht="144" x14ac:dyDescent="0.2">
      <c r="A175" s="69"/>
      <c r="B175" s="17">
        <v>165</v>
      </c>
      <c r="C175" s="6" t="s">
        <v>1455</v>
      </c>
      <c r="D175" s="18" t="s">
        <v>466</v>
      </c>
      <c r="E175" s="15" t="s">
        <v>467</v>
      </c>
      <c r="F175" s="15" t="s">
        <v>468</v>
      </c>
      <c r="G175" s="16" t="s">
        <v>35</v>
      </c>
      <c r="H175" s="16" t="s">
        <v>51</v>
      </c>
      <c r="I175" s="15" t="s">
        <v>51</v>
      </c>
      <c r="J175" s="15"/>
      <c r="K175" s="1"/>
      <c r="L175" s="1"/>
      <c r="M175" s="1"/>
      <c r="N175" s="1"/>
      <c r="O175" s="1"/>
      <c r="P175" s="1"/>
      <c r="Q175" s="1"/>
      <c r="R175" s="1"/>
      <c r="S175" s="1"/>
      <c r="T175" s="1"/>
      <c r="U175" s="1"/>
      <c r="V175" s="1"/>
      <c r="W175" s="1"/>
      <c r="X175" s="1"/>
      <c r="Y175" s="1"/>
      <c r="Z175" s="1"/>
    </row>
    <row r="176" spans="1:26" ht="14.25" hidden="1" customHeight="1" x14ac:dyDescent="0.2">
      <c r="A176" s="69"/>
      <c r="B176" s="17">
        <v>166</v>
      </c>
      <c r="C176" s="6" t="s">
        <v>1455</v>
      </c>
      <c r="D176" s="6" t="s">
        <v>469</v>
      </c>
      <c r="E176" s="15" t="s">
        <v>470</v>
      </c>
      <c r="F176" s="15" t="s">
        <v>471</v>
      </c>
      <c r="G176" s="16" t="s">
        <v>65</v>
      </c>
      <c r="H176" s="16" t="s">
        <v>37</v>
      </c>
      <c r="I176" s="15" t="s">
        <v>51</v>
      </c>
      <c r="J176" s="15"/>
      <c r="K176" s="1"/>
      <c r="L176" s="1"/>
      <c r="M176" s="1"/>
      <c r="N176" s="1"/>
      <c r="O176" s="1"/>
      <c r="P176" s="1"/>
      <c r="Q176" s="1"/>
      <c r="R176" s="1"/>
      <c r="S176" s="1"/>
      <c r="T176" s="1"/>
      <c r="U176" s="1"/>
      <c r="V176" s="1"/>
      <c r="W176" s="1"/>
      <c r="X176" s="1"/>
      <c r="Y176" s="1"/>
      <c r="Z176" s="1"/>
    </row>
    <row r="177" spans="1:26" ht="64" hidden="1" x14ac:dyDescent="0.2">
      <c r="A177" s="69"/>
      <c r="B177" s="17">
        <v>167</v>
      </c>
      <c r="C177" s="6" t="s">
        <v>1455</v>
      </c>
      <c r="D177" s="18" t="s">
        <v>472</v>
      </c>
      <c r="E177" s="15" t="s">
        <v>473</v>
      </c>
      <c r="F177" s="15" t="s">
        <v>474</v>
      </c>
      <c r="G177" s="16" t="s">
        <v>65</v>
      </c>
      <c r="H177" s="16" t="s">
        <v>37</v>
      </c>
      <c r="I177" s="15" t="s">
        <v>51</v>
      </c>
      <c r="J177" s="15" t="s">
        <v>462</v>
      </c>
      <c r="K177" s="1"/>
      <c r="L177" s="1"/>
      <c r="M177" s="1"/>
      <c r="N177" s="1"/>
      <c r="O177" s="1"/>
      <c r="P177" s="1"/>
      <c r="Q177" s="1"/>
      <c r="R177" s="1"/>
      <c r="S177" s="1"/>
      <c r="T177" s="1"/>
      <c r="U177" s="1"/>
      <c r="V177" s="1"/>
      <c r="W177" s="1"/>
      <c r="X177" s="1"/>
      <c r="Y177" s="1"/>
      <c r="Z177" s="1"/>
    </row>
    <row r="178" spans="1:26" ht="14.25" hidden="1" customHeight="1" x14ac:dyDescent="0.2">
      <c r="A178" s="69"/>
      <c r="B178" s="17">
        <v>168</v>
      </c>
      <c r="C178" s="6" t="s">
        <v>1455</v>
      </c>
      <c r="D178" s="6" t="s">
        <v>475</v>
      </c>
      <c r="E178" s="15" t="s">
        <v>476</v>
      </c>
      <c r="F178" s="15" t="s">
        <v>475</v>
      </c>
      <c r="G178" s="16" t="s">
        <v>65</v>
      </c>
      <c r="H178" s="16" t="s">
        <v>37</v>
      </c>
      <c r="I178" s="15" t="s">
        <v>51</v>
      </c>
      <c r="J178" s="15" t="s">
        <v>477</v>
      </c>
      <c r="K178" s="1"/>
      <c r="L178" s="1"/>
      <c r="M178" s="1"/>
      <c r="N178" s="1"/>
      <c r="O178" s="1"/>
      <c r="P178" s="1"/>
      <c r="Q178" s="1"/>
      <c r="R178" s="1"/>
      <c r="S178" s="1"/>
      <c r="T178" s="1"/>
      <c r="U178" s="1"/>
      <c r="V178" s="1"/>
      <c r="W178" s="1"/>
      <c r="X178" s="1"/>
      <c r="Y178" s="1"/>
      <c r="Z178" s="1"/>
    </row>
    <row r="179" spans="1:26" ht="112" x14ac:dyDescent="0.2">
      <c r="A179" s="69"/>
      <c r="B179" s="17">
        <v>169</v>
      </c>
      <c r="C179" s="6" t="s">
        <v>1455</v>
      </c>
      <c r="D179" s="15" t="s">
        <v>478</v>
      </c>
      <c r="E179" s="15" t="s">
        <v>479</v>
      </c>
      <c r="F179" s="15" t="s">
        <v>480</v>
      </c>
      <c r="G179" s="16" t="s">
        <v>65</v>
      </c>
      <c r="H179" s="16" t="s">
        <v>51</v>
      </c>
      <c r="I179" s="15" t="s">
        <v>51</v>
      </c>
      <c r="J179" s="15"/>
      <c r="K179" s="1"/>
      <c r="L179" s="1"/>
      <c r="M179" s="1"/>
      <c r="N179" s="1"/>
      <c r="O179" s="1"/>
      <c r="P179" s="1"/>
      <c r="Q179" s="1"/>
      <c r="R179" s="1"/>
      <c r="S179" s="1"/>
      <c r="T179" s="1"/>
      <c r="U179" s="1"/>
      <c r="V179" s="1"/>
      <c r="W179" s="1"/>
      <c r="X179" s="1"/>
      <c r="Y179" s="1"/>
      <c r="Z179" s="1"/>
    </row>
    <row r="180" spans="1:26" ht="14.25" hidden="1" customHeight="1" x14ac:dyDescent="0.2">
      <c r="A180" s="69"/>
      <c r="B180" s="17">
        <v>170</v>
      </c>
      <c r="C180" s="6" t="s">
        <v>1455</v>
      </c>
      <c r="D180" s="6" t="s">
        <v>481</v>
      </c>
      <c r="E180" s="15" t="s">
        <v>482</v>
      </c>
      <c r="F180" s="15" t="s">
        <v>481</v>
      </c>
      <c r="G180" s="16" t="s">
        <v>65</v>
      </c>
      <c r="H180" s="16" t="s">
        <v>37</v>
      </c>
      <c r="I180" s="15" t="s">
        <v>51</v>
      </c>
      <c r="J180" s="15"/>
      <c r="K180" s="1"/>
      <c r="L180" s="1"/>
      <c r="M180" s="1"/>
      <c r="N180" s="1"/>
      <c r="O180" s="1"/>
      <c r="P180" s="1"/>
      <c r="Q180" s="1"/>
      <c r="R180" s="1"/>
      <c r="S180" s="1"/>
      <c r="T180" s="1"/>
      <c r="U180" s="1"/>
      <c r="V180" s="1"/>
      <c r="W180" s="1"/>
      <c r="X180" s="1"/>
      <c r="Y180" s="1"/>
      <c r="Z180" s="1"/>
    </row>
    <row r="181" spans="1:26" ht="14.25" hidden="1" customHeight="1" x14ac:dyDescent="0.2">
      <c r="A181" s="69"/>
      <c r="B181" s="17">
        <v>171</v>
      </c>
      <c r="C181" s="6" t="s">
        <v>1455</v>
      </c>
      <c r="D181" s="6" t="s">
        <v>483</v>
      </c>
      <c r="E181" s="15" t="s">
        <v>484</v>
      </c>
      <c r="F181" s="15" t="s">
        <v>483</v>
      </c>
      <c r="G181" s="16" t="s">
        <v>65</v>
      </c>
      <c r="H181" s="16" t="s">
        <v>37</v>
      </c>
      <c r="I181" s="15" t="s">
        <v>51</v>
      </c>
      <c r="J181" s="15" t="s">
        <v>485</v>
      </c>
      <c r="K181" s="1"/>
      <c r="L181" s="1"/>
      <c r="M181" s="1"/>
      <c r="N181" s="1"/>
      <c r="O181" s="1"/>
      <c r="P181" s="1"/>
      <c r="Q181" s="1"/>
      <c r="R181" s="1"/>
      <c r="S181" s="1"/>
      <c r="T181" s="1"/>
      <c r="U181" s="1"/>
      <c r="V181" s="1"/>
      <c r="W181" s="1"/>
      <c r="X181" s="1"/>
      <c r="Y181" s="1"/>
      <c r="Z181" s="1"/>
    </row>
    <row r="182" spans="1:26" ht="14.25" hidden="1" customHeight="1" x14ac:dyDescent="0.2">
      <c r="A182" s="69"/>
      <c r="B182" s="17">
        <v>172</v>
      </c>
      <c r="C182" s="6" t="s">
        <v>1455</v>
      </c>
      <c r="D182" s="6" t="s">
        <v>486</v>
      </c>
      <c r="E182" s="15" t="s">
        <v>487</v>
      </c>
      <c r="F182" s="15" t="s">
        <v>486</v>
      </c>
      <c r="G182" s="16" t="s">
        <v>65</v>
      </c>
      <c r="H182" s="16" t="s">
        <v>37</v>
      </c>
      <c r="I182" s="15" t="s">
        <v>51</v>
      </c>
      <c r="J182" s="15"/>
      <c r="K182" s="1"/>
      <c r="L182" s="1"/>
      <c r="M182" s="1"/>
      <c r="N182" s="1"/>
      <c r="O182" s="1"/>
      <c r="P182" s="1"/>
      <c r="Q182" s="1"/>
      <c r="R182" s="1"/>
      <c r="S182" s="1"/>
      <c r="T182" s="1"/>
      <c r="U182" s="1"/>
      <c r="V182" s="1"/>
      <c r="W182" s="1"/>
      <c r="X182" s="1"/>
      <c r="Y182" s="1"/>
      <c r="Z182" s="1"/>
    </row>
    <row r="183" spans="1:26" ht="14.25" hidden="1" customHeight="1" x14ac:dyDescent="0.2">
      <c r="A183" s="69"/>
      <c r="B183" s="17">
        <v>173</v>
      </c>
      <c r="C183" s="6" t="s">
        <v>1455</v>
      </c>
      <c r="D183" s="6" t="s">
        <v>488</v>
      </c>
      <c r="E183" s="15" t="s">
        <v>489</v>
      </c>
      <c r="F183" s="15" t="s">
        <v>490</v>
      </c>
      <c r="G183" s="16" t="s">
        <v>65</v>
      </c>
      <c r="H183" s="16" t="s">
        <v>37</v>
      </c>
      <c r="I183" s="15" t="s">
        <v>51</v>
      </c>
      <c r="J183" s="15" t="s">
        <v>491</v>
      </c>
      <c r="K183" s="1"/>
      <c r="L183" s="1"/>
      <c r="M183" s="1"/>
      <c r="N183" s="1"/>
      <c r="O183" s="1"/>
      <c r="P183" s="1"/>
      <c r="Q183" s="1"/>
      <c r="R183" s="1"/>
      <c r="S183" s="1"/>
      <c r="T183" s="1"/>
      <c r="U183" s="1"/>
      <c r="V183" s="1"/>
      <c r="W183" s="1"/>
      <c r="X183" s="1"/>
      <c r="Y183" s="1"/>
      <c r="Z183" s="1"/>
    </row>
    <row r="184" spans="1:26" ht="14.25" hidden="1" customHeight="1" x14ac:dyDescent="0.2">
      <c r="A184" s="69"/>
      <c r="B184" s="17">
        <v>174</v>
      </c>
      <c r="C184" s="6" t="s">
        <v>1455</v>
      </c>
      <c r="D184" s="6" t="s">
        <v>492</v>
      </c>
      <c r="E184" s="15" t="s">
        <v>493</v>
      </c>
      <c r="F184" s="15" t="s">
        <v>492</v>
      </c>
      <c r="G184" s="16" t="s">
        <v>65</v>
      </c>
      <c r="H184" s="16" t="s">
        <v>37</v>
      </c>
      <c r="I184" s="15" t="s">
        <v>51</v>
      </c>
      <c r="J184" s="15" t="s">
        <v>358</v>
      </c>
      <c r="K184" s="1"/>
      <c r="L184" s="1"/>
      <c r="M184" s="1"/>
      <c r="N184" s="1"/>
      <c r="O184" s="1"/>
      <c r="P184" s="1"/>
      <c r="Q184" s="1"/>
      <c r="R184" s="1"/>
      <c r="S184" s="1"/>
      <c r="T184" s="1"/>
      <c r="U184" s="1"/>
      <c r="V184" s="1"/>
      <c r="W184" s="1"/>
      <c r="X184" s="1"/>
      <c r="Y184" s="1"/>
      <c r="Z184" s="1"/>
    </row>
    <row r="185" spans="1:26" ht="14.25" hidden="1" customHeight="1" x14ac:dyDescent="0.2">
      <c r="A185" s="69"/>
      <c r="B185" s="17">
        <v>175</v>
      </c>
      <c r="C185" s="6" t="s">
        <v>1455</v>
      </c>
      <c r="D185" s="6" t="s">
        <v>494</v>
      </c>
      <c r="E185" s="15" t="s">
        <v>495</v>
      </c>
      <c r="F185" s="15" t="s">
        <v>494</v>
      </c>
      <c r="G185" s="16" t="s">
        <v>65</v>
      </c>
      <c r="H185" s="16" t="s">
        <v>37</v>
      </c>
      <c r="I185" s="15" t="s">
        <v>51</v>
      </c>
      <c r="J185" s="15" t="s">
        <v>496</v>
      </c>
      <c r="K185" s="1"/>
      <c r="L185" s="1"/>
      <c r="M185" s="1"/>
      <c r="N185" s="1"/>
      <c r="O185" s="1"/>
      <c r="P185" s="1"/>
      <c r="Q185" s="1"/>
      <c r="R185" s="1"/>
      <c r="S185" s="1"/>
      <c r="T185" s="1"/>
      <c r="U185" s="1"/>
      <c r="V185" s="1"/>
      <c r="W185" s="1"/>
      <c r="X185" s="1"/>
      <c r="Y185" s="1"/>
      <c r="Z185" s="1"/>
    </row>
    <row r="186" spans="1:26" ht="14.25" hidden="1" customHeight="1" x14ac:dyDescent="0.2">
      <c r="A186" s="69"/>
      <c r="B186" s="17">
        <v>176</v>
      </c>
      <c r="C186" s="6" t="s">
        <v>1455</v>
      </c>
      <c r="D186" s="6" t="s">
        <v>497</v>
      </c>
      <c r="E186" s="15" t="s">
        <v>498</v>
      </c>
      <c r="F186" s="15" t="s">
        <v>499</v>
      </c>
      <c r="G186" s="16" t="s">
        <v>65</v>
      </c>
      <c r="H186" s="16" t="s">
        <v>37</v>
      </c>
      <c r="I186" s="15" t="s">
        <v>51</v>
      </c>
      <c r="J186" s="15"/>
      <c r="K186" s="1"/>
      <c r="L186" s="1"/>
      <c r="M186" s="1"/>
      <c r="N186" s="1"/>
      <c r="O186" s="1"/>
      <c r="P186" s="1"/>
      <c r="Q186" s="1"/>
      <c r="R186" s="1"/>
      <c r="S186" s="1"/>
      <c r="T186" s="1"/>
      <c r="U186" s="1"/>
      <c r="V186" s="1"/>
      <c r="W186" s="1"/>
      <c r="X186" s="1"/>
      <c r="Y186" s="1"/>
      <c r="Z186" s="1"/>
    </row>
    <row r="187" spans="1:26" ht="14.25" hidden="1" customHeight="1" x14ac:dyDescent="0.2">
      <c r="A187" s="69"/>
      <c r="B187" s="17">
        <v>177</v>
      </c>
      <c r="C187" s="6" t="s">
        <v>1455</v>
      </c>
      <c r="D187" s="6" t="s">
        <v>500</v>
      </c>
      <c r="E187" s="15" t="s">
        <v>501</v>
      </c>
      <c r="F187" s="15" t="s">
        <v>502</v>
      </c>
      <c r="G187" s="16" t="s">
        <v>65</v>
      </c>
      <c r="H187" s="16" t="s">
        <v>37</v>
      </c>
      <c r="I187" s="15" t="s">
        <v>51</v>
      </c>
      <c r="J187" s="15"/>
      <c r="K187" s="1"/>
      <c r="L187" s="1"/>
      <c r="M187" s="1"/>
      <c r="N187" s="1"/>
      <c r="O187" s="1"/>
      <c r="P187" s="1"/>
      <c r="Q187" s="1"/>
      <c r="R187" s="1"/>
      <c r="S187" s="1"/>
      <c r="T187" s="1"/>
      <c r="U187" s="1"/>
      <c r="V187" s="1"/>
      <c r="W187" s="1"/>
      <c r="X187" s="1"/>
      <c r="Y187" s="1"/>
      <c r="Z187" s="1"/>
    </row>
    <row r="188" spans="1:26" ht="14.25" hidden="1" customHeight="1" x14ac:dyDescent="0.2">
      <c r="A188" s="69"/>
      <c r="B188" s="17">
        <v>178</v>
      </c>
      <c r="C188" s="6" t="s">
        <v>1455</v>
      </c>
      <c r="D188" s="6" t="s">
        <v>503</v>
      </c>
      <c r="E188" s="15" t="s">
        <v>504</v>
      </c>
      <c r="F188" s="15" t="s">
        <v>505</v>
      </c>
      <c r="G188" s="16" t="s">
        <v>65</v>
      </c>
      <c r="H188" s="16" t="s">
        <v>37</v>
      </c>
      <c r="I188" s="15" t="s">
        <v>51</v>
      </c>
      <c r="J188" s="15"/>
      <c r="K188" s="1"/>
      <c r="L188" s="1"/>
      <c r="M188" s="1"/>
      <c r="N188" s="1"/>
      <c r="O188" s="1"/>
      <c r="P188" s="1"/>
      <c r="Q188" s="1"/>
      <c r="R188" s="1"/>
      <c r="S188" s="1"/>
      <c r="T188" s="1"/>
      <c r="U188" s="1"/>
      <c r="V188" s="1"/>
      <c r="W188" s="1"/>
      <c r="X188" s="1"/>
      <c r="Y188" s="1"/>
      <c r="Z188" s="1"/>
    </row>
    <row r="189" spans="1:26" ht="14.25" hidden="1" customHeight="1" x14ac:dyDescent="0.2">
      <c r="A189" s="69"/>
      <c r="B189" s="17">
        <v>179</v>
      </c>
      <c r="C189" s="6" t="s">
        <v>1455</v>
      </c>
      <c r="D189" s="6" t="s">
        <v>506</v>
      </c>
      <c r="E189" s="15" t="s">
        <v>507</v>
      </c>
      <c r="F189" s="15" t="s">
        <v>506</v>
      </c>
      <c r="G189" s="16" t="s">
        <v>65</v>
      </c>
      <c r="H189" s="16" t="s">
        <v>37</v>
      </c>
      <c r="I189" s="15" t="s">
        <v>51</v>
      </c>
      <c r="J189" s="15"/>
      <c r="K189" s="1"/>
      <c r="L189" s="1"/>
      <c r="M189" s="1"/>
      <c r="N189" s="1"/>
      <c r="O189" s="1"/>
      <c r="P189" s="1"/>
      <c r="Q189" s="1"/>
      <c r="R189" s="1"/>
      <c r="S189" s="1"/>
      <c r="T189" s="1"/>
      <c r="U189" s="1"/>
      <c r="V189" s="1"/>
      <c r="W189" s="1"/>
      <c r="X189" s="1"/>
      <c r="Y189" s="1"/>
      <c r="Z189" s="1"/>
    </row>
    <row r="190" spans="1:26" ht="14.25" hidden="1" customHeight="1" x14ac:dyDescent="0.2">
      <c r="A190" s="69"/>
      <c r="B190" s="17">
        <v>180</v>
      </c>
      <c r="C190" s="6" t="s">
        <v>1455</v>
      </c>
      <c r="D190" s="6" t="s">
        <v>508</v>
      </c>
      <c r="E190" s="15" t="s">
        <v>509</v>
      </c>
      <c r="F190" s="15" t="s">
        <v>510</v>
      </c>
      <c r="G190" s="16" t="s">
        <v>65</v>
      </c>
      <c r="H190" s="16" t="s">
        <v>37</v>
      </c>
      <c r="I190" s="15" t="s">
        <v>51</v>
      </c>
      <c r="J190" s="15"/>
      <c r="K190" s="1"/>
      <c r="L190" s="1"/>
      <c r="M190" s="1"/>
      <c r="N190" s="1"/>
      <c r="O190" s="1"/>
      <c r="P190" s="1"/>
      <c r="Q190" s="1"/>
      <c r="R190" s="1"/>
      <c r="S190" s="1"/>
      <c r="T190" s="1"/>
      <c r="U190" s="1"/>
      <c r="V190" s="1"/>
      <c r="W190" s="1"/>
      <c r="X190" s="1"/>
      <c r="Y190" s="1"/>
      <c r="Z190" s="1"/>
    </row>
    <row r="191" spans="1:26" ht="14.25" hidden="1" customHeight="1" x14ac:dyDescent="0.2">
      <c r="A191" s="69"/>
      <c r="B191" s="17">
        <v>181</v>
      </c>
      <c r="C191" s="6" t="s">
        <v>1455</v>
      </c>
      <c r="D191" s="6" t="s">
        <v>511</v>
      </c>
      <c r="E191" s="15" t="s">
        <v>512</v>
      </c>
      <c r="F191" s="15" t="s">
        <v>511</v>
      </c>
      <c r="G191" s="16" t="s">
        <v>65</v>
      </c>
      <c r="H191" s="16" t="s">
        <v>37</v>
      </c>
      <c r="I191" s="15" t="s">
        <v>51</v>
      </c>
      <c r="J191" s="15" t="s">
        <v>513</v>
      </c>
      <c r="K191" s="1"/>
      <c r="L191" s="1"/>
      <c r="M191" s="1"/>
      <c r="N191" s="1"/>
      <c r="O191" s="1"/>
      <c r="P191" s="1"/>
      <c r="Q191" s="1"/>
      <c r="R191" s="1"/>
      <c r="S191" s="1"/>
      <c r="T191" s="1"/>
      <c r="U191" s="1"/>
      <c r="V191" s="1"/>
      <c r="W191" s="1"/>
      <c r="X191" s="1"/>
      <c r="Y191" s="1"/>
      <c r="Z191" s="1"/>
    </row>
    <row r="192" spans="1:26" ht="14.25" hidden="1" customHeight="1" x14ac:dyDescent="0.2">
      <c r="A192" s="69"/>
      <c r="B192" s="17">
        <v>182</v>
      </c>
      <c r="C192" s="6" t="s">
        <v>1455</v>
      </c>
      <c r="D192" s="6" t="s">
        <v>514</v>
      </c>
      <c r="E192" s="15" t="s">
        <v>515</v>
      </c>
      <c r="F192" s="15" t="s">
        <v>514</v>
      </c>
      <c r="G192" s="16" t="s">
        <v>65</v>
      </c>
      <c r="H192" s="16" t="s">
        <v>37</v>
      </c>
      <c r="I192" s="15" t="s">
        <v>51</v>
      </c>
      <c r="J192" s="15"/>
      <c r="K192" s="1"/>
      <c r="L192" s="1"/>
      <c r="M192" s="1"/>
      <c r="N192" s="1"/>
      <c r="O192" s="1"/>
      <c r="P192" s="1"/>
      <c r="Q192" s="1"/>
      <c r="R192" s="1"/>
      <c r="S192" s="1"/>
      <c r="T192" s="1"/>
      <c r="U192" s="1"/>
      <c r="V192" s="1"/>
      <c r="W192" s="1"/>
      <c r="X192" s="1"/>
      <c r="Y192" s="1"/>
      <c r="Z192" s="1"/>
    </row>
    <row r="193" spans="1:26" ht="14.25" customHeight="1" x14ac:dyDescent="0.2">
      <c r="A193" s="69"/>
      <c r="B193" s="17">
        <v>183</v>
      </c>
      <c r="C193" s="6" t="s">
        <v>1455</v>
      </c>
      <c r="D193" s="6" t="s">
        <v>516</v>
      </c>
      <c r="E193" s="15" t="s">
        <v>517</v>
      </c>
      <c r="F193" s="15" t="s">
        <v>518</v>
      </c>
      <c r="G193" s="16" t="s">
        <v>65</v>
      </c>
      <c r="H193" s="16" t="s">
        <v>51</v>
      </c>
      <c r="I193" s="15" t="s">
        <v>51</v>
      </c>
      <c r="J193" s="15"/>
      <c r="K193" s="1"/>
      <c r="L193" s="1"/>
      <c r="M193" s="1"/>
      <c r="N193" s="1"/>
      <c r="O193" s="1"/>
      <c r="P193" s="1"/>
      <c r="Q193" s="1"/>
      <c r="R193" s="1"/>
      <c r="S193" s="1"/>
      <c r="T193" s="1"/>
      <c r="U193" s="1"/>
      <c r="V193" s="1"/>
      <c r="W193" s="1"/>
      <c r="X193" s="1"/>
      <c r="Y193" s="1"/>
      <c r="Z193" s="1"/>
    </row>
    <row r="194" spans="1:26" ht="96" x14ac:dyDescent="0.2">
      <c r="A194" s="69"/>
      <c r="B194" s="17">
        <v>184</v>
      </c>
      <c r="C194" s="6" t="s">
        <v>1455</v>
      </c>
      <c r="D194" s="18" t="s">
        <v>519</v>
      </c>
      <c r="E194" s="15" t="s">
        <v>520</v>
      </c>
      <c r="F194" s="15" t="s">
        <v>521</v>
      </c>
      <c r="G194" s="16" t="s">
        <v>65</v>
      </c>
      <c r="H194" s="16" t="s">
        <v>51</v>
      </c>
      <c r="I194" s="15" t="s">
        <v>51</v>
      </c>
      <c r="J194" s="15"/>
      <c r="K194" s="1"/>
      <c r="L194" s="1"/>
      <c r="M194" s="1"/>
      <c r="N194" s="1"/>
      <c r="O194" s="1"/>
      <c r="P194" s="1"/>
      <c r="Q194" s="1"/>
      <c r="R194" s="1"/>
      <c r="S194" s="1"/>
      <c r="T194" s="1"/>
      <c r="U194" s="1"/>
      <c r="V194" s="1"/>
      <c r="W194" s="1"/>
      <c r="X194" s="1"/>
      <c r="Y194" s="1"/>
      <c r="Z194" s="1"/>
    </row>
    <row r="195" spans="1:26" ht="64" x14ac:dyDescent="0.2">
      <c r="A195" s="69"/>
      <c r="B195" s="17">
        <v>185</v>
      </c>
      <c r="C195" s="6" t="s">
        <v>1455</v>
      </c>
      <c r="D195" s="18" t="s">
        <v>522</v>
      </c>
      <c r="E195" s="15" t="s">
        <v>523</v>
      </c>
      <c r="F195" s="15" t="s">
        <v>524</v>
      </c>
      <c r="G195" s="16" t="s">
        <v>65</v>
      </c>
      <c r="H195" s="16" t="s">
        <v>51</v>
      </c>
      <c r="I195" s="15" t="s">
        <v>51</v>
      </c>
      <c r="J195" s="15"/>
      <c r="K195" s="1"/>
      <c r="L195" s="1"/>
      <c r="M195" s="1"/>
      <c r="N195" s="1"/>
      <c r="O195" s="1"/>
      <c r="P195" s="1"/>
      <c r="Q195" s="1"/>
      <c r="R195" s="1"/>
      <c r="S195" s="1"/>
      <c r="T195" s="1"/>
      <c r="U195" s="1"/>
      <c r="V195" s="1"/>
      <c r="W195" s="1"/>
      <c r="X195" s="1"/>
      <c r="Y195" s="1"/>
      <c r="Z195" s="1"/>
    </row>
    <row r="196" spans="1:26" ht="14.25" customHeight="1" x14ac:dyDescent="0.2">
      <c r="A196" s="69"/>
      <c r="B196" s="17">
        <v>186</v>
      </c>
      <c r="C196" s="6" t="s">
        <v>1455</v>
      </c>
      <c r="D196" s="6" t="s">
        <v>525</v>
      </c>
      <c r="E196" s="15" t="s">
        <v>526</v>
      </c>
      <c r="F196" s="15" t="s">
        <v>525</v>
      </c>
      <c r="G196" s="16" t="s">
        <v>65</v>
      </c>
      <c r="H196" s="16" t="s">
        <v>51</v>
      </c>
      <c r="I196" s="15" t="s">
        <v>51</v>
      </c>
      <c r="J196" s="15"/>
      <c r="K196" s="1"/>
      <c r="L196" s="1"/>
      <c r="M196" s="1"/>
      <c r="N196" s="1"/>
      <c r="O196" s="1"/>
      <c r="P196" s="1"/>
      <c r="Q196" s="1"/>
      <c r="R196" s="1"/>
      <c r="S196" s="1"/>
      <c r="T196" s="1"/>
      <c r="U196" s="1"/>
      <c r="V196" s="1"/>
      <c r="W196" s="1"/>
      <c r="X196" s="1"/>
      <c r="Y196" s="1"/>
      <c r="Z196" s="1"/>
    </row>
    <row r="197" spans="1:26" ht="14.25" customHeight="1" x14ac:dyDescent="0.2">
      <c r="A197" s="69"/>
      <c r="B197" s="17">
        <v>187</v>
      </c>
      <c r="C197" s="6" t="s">
        <v>1455</v>
      </c>
      <c r="D197" s="18" t="s">
        <v>527</v>
      </c>
      <c r="E197" s="15" t="s">
        <v>528</v>
      </c>
      <c r="F197" s="15" t="s">
        <v>529</v>
      </c>
      <c r="G197" s="16" t="s">
        <v>65</v>
      </c>
      <c r="H197" s="16" t="s">
        <v>51</v>
      </c>
      <c r="I197" s="15" t="s">
        <v>51</v>
      </c>
      <c r="J197" s="15"/>
      <c r="K197" s="1"/>
      <c r="L197" s="1"/>
      <c r="M197" s="1"/>
      <c r="N197" s="1"/>
      <c r="O197" s="1"/>
      <c r="P197" s="1"/>
      <c r="Q197" s="1"/>
      <c r="R197" s="1"/>
      <c r="S197" s="1"/>
      <c r="T197" s="1"/>
      <c r="U197" s="1"/>
      <c r="V197" s="1"/>
      <c r="W197" s="1"/>
      <c r="X197" s="1"/>
      <c r="Y197" s="1"/>
      <c r="Z197" s="1"/>
    </row>
    <row r="198" spans="1:26" ht="14.25" customHeight="1" x14ac:dyDescent="0.2">
      <c r="A198" s="69"/>
      <c r="B198" s="17">
        <v>188</v>
      </c>
      <c r="C198" s="6" t="s">
        <v>1455</v>
      </c>
      <c r="D198" s="18" t="s">
        <v>530</v>
      </c>
      <c r="E198" s="15" t="s">
        <v>531</v>
      </c>
      <c r="F198" s="15" t="s">
        <v>532</v>
      </c>
      <c r="G198" s="16" t="s">
        <v>65</v>
      </c>
      <c r="H198" s="16" t="s">
        <v>51</v>
      </c>
      <c r="I198" s="15" t="s">
        <v>51</v>
      </c>
      <c r="J198" s="15"/>
      <c r="K198" s="1"/>
      <c r="L198" s="1"/>
      <c r="M198" s="1"/>
      <c r="N198" s="1"/>
      <c r="O198" s="1"/>
      <c r="P198" s="1"/>
      <c r="Q198" s="1"/>
      <c r="R198" s="1"/>
      <c r="S198" s="1"/>
      <c r="T198" s="1"/>
      <c r="U198" s="1"/>
      <c r="V198" s="1"/>
      <c r="W198" s="1"/>
      <c r="X198" s="1"/>
      <c r="Y198" s="1"/>
      <c r="Z198" s="1"/>
    </row>
    <row r="199" spans="1:26" ht="14.25" hidden="1" customHeight="1" x14ac:dyDescent="0.2">
      <c r="A199" s="69"/>
      <c r="B199" s="17">
        <v>189</v>
      </c>
      <c r="C199" s="6" t="s">
        <v>1455</v>
      </c>
      <c r="D199" s="6" t="s">
        <v>533</v>
      </c>
      <c r="E199" s="15" t="s">
        <v>534</v>
      </c>
      <c r="F199" s="15" t="s">
        <v>533</v>
      </c>
      <c r="G199" s="16" t="s">
        <v>65</v>
      </c>
      <c r="H199" s="16" t="s">
        <v>37</v>
      </c>
      <c r="I199" s="15" t="s">
        <v>51</v>
      </c>
      <c r="J199" s="15"/>
      <c r="K199" s="1"/>
      <c r="L199" s="1"/>
      <c r="M199" s="1"/>
      <c r="N199" s="1"/>
      <c r="O199" s="1"/>
      <c r="P199" s="1"/>
      <c r="Q199" s="1"/>
      <c r="R199" s="1"/>
      <c r="S199" s="1"/>
      <c r="T199" s="1"/>
      <c r="U199" s="1"/>
      <c r="V199" s="1"/>
      <c r="W199" s="1"/>
      <c r="X199" s="1"/>
      <c r="Y199" s="1"/>
      <c r="Z199" s="1"/>
    </row>
    <row r="200" spans="1:26" ht="32" hidden="1" x14ac:dyDescent="0.2">
      <c r="A200" s="69"/>
      <c r="B200" s="17">
        <v>190</v>
      </c>
      <c r="C200" s="6" t="s">
        <v>1455</v>
      </c>
      <c r="D200" s="18" t="s">
        <v>535</v>
      </c>
      <c r="E200" s="15" t="s">
        <v>536</v>
      </c>
      <c r="F200" s="15" t="s">
        <v>537</v>
      </c>
      <c r="G200" s="16" t="s">
        <v>65</v>
      </c>
      <c r="H200" s="16" t="s">
        <v>37</v>
      </c>
      <c r="I200" s="15" t="s">
        <v>51</v>
      </c>
      <c r="J200" s="15"/>
      <c r="K200" s="1"/>
      <c r="L200" s="1"/>
      <c r="M200" s="1"/>
      <c r="N200" s="1"/>
      <c r="O200" s="1"/>
      <c r="P200" s="1"/>
      <c r="Q200" s="1"/>
      <c r="R200" s="1"/>
      <c r="S200" s="1"/>
      <c r="T200" s="1"/>
      <c r="U200" s="1"/>
      <c r="V200" s="1"/>
      <c r="W200" s="1"/>
      <c r="X200" s="1"/>
      <c r="Y200" s="1"/>
      <c r="Z200" s="1"/>
    </row>
    <row r="201" spans="1:26" ht="14.25" hidden="1" customHeight="1" x14ac:dyDescent="0.2">
      <c r="A201" s="69"/>
      <c r="B201" s="17">
        <v>191</v>
      </c>
      <c r="C201" s="6" t="s">
        <v>1455</v>
      </c>
      <c r="D201" s="6" t="s">
        <v>538</v>
      </c>
      <c r="E201" s="15" t="s">
        <v>539</v>
      </c>
      <c r="F201" s="15" t="s">
        <v>540</v>
      </c>
      <c r="G201" s="16" t="s">
        <v>65</v>
      </c>
      <c r="H201" s="16" t="s">
        <v>37</v>
      </c>
      <c r="I201" s="15" t="s">
        <v>51</v>
      </c>
      <c r="J201" s="15"/>
      <c r="K201" s="1"/>
      <c r="L201" s="1"/>
      <c r="M201" s="1"/>
      <c r="N201" s="1"/>
      <c r="O201" s="1"/>
      <c r="P201" s="1"/>
      <c r="Q201" s="1"/>
      <c r="R201" s="1"/>
      <c r="S201" s="1"/>
      <c r="T201" s="1"/>
      <c r="U201" s="1"/>
      <c r="V201" s="1"/>
      <c r="W201" s="1"/>
      <c r="X201" s="1"/>
      <c r="Y201" s="1"/>
      <c r="Z201" s="1"/>
    </row>
    <row r="202" spans="1:26" ht="14.25" hidden="1" customHeight="1" x14ac:dyDescent="0.2">
      <c r="A202" s="69"/>
      <c r="B202" s="17">
        <v>192</v>
      </c>
      <c r="C202" s="6" t="s">
        <v>1455</v>
      </c>
      <c r="D202" s="6" t="s">
        <v>541</v>
      </c>
      <c r="E202" s="15" t="s">
        <v>542</v>
      </c>
      <c r="F202" s="15" t="s">
        <v>541</v>
      </c>
      <c r="G202" s="16" t="s">
        <v>65</v>
      </c>
      <c r="H202" s="16" t="s">
        <v>37</v>
      </c>
      <c r="I202" s="15" t="s">
        <v>51</v>
      </c>
      <c r="J202" s="15"/>
      <c r="K202" s="1"/>
      <c r="L202" s="1"/>
      <c r="M202" s="1"/>
      <c r="N202" s="1"/>
      <c r="O202" s="1"/>
      <c r="P202" s="1"/>
      <c r="Q202" s="1"/>
      <c r="R202" s="1"/>
      <c r="S202" s="1"/>
      <c r="T202" s="1"/>
      <c r="U202" s="1"/>
      <c r="V202" s="1"/>
      <c r="W202" s="1"/>
      <c r="X202" s="1"/>
      <c r="Y202" s="1"/>
      <c r="Z202" s="1"/>
    </row>
    <row r="203" spans="1:26" ht="14.25" hidden="1" customHeight="1" x14ac:dyDescent="0.2">
      <c r="A203" s="69"/>
      <c r="B203" s="17">
        <v>193</v>
      </c>
      <c r="C203" s="6" t="s">
        <v>1455</v>
      </c>
      <c r="D203" s="6" t="s">
        <v>543</v>
      </c>
      <c r="E203" s="15" t="s">
        <v>544</v>
      </c>
      <c r="F203" s="15" t="s">
        <v>543</v>
      </c>
      <c r="G203" s="16" t="s">
        <v>65</v>
      </c>
      <c r="H203" s="16" t="s">
        <v>37</v>
      </c>
      <c r="I203" s="15" t="s">
        <v>51</v>
      </c>
      <c r="J203" s="15" t="s">
        <v>358</v>
      </c>
      <c r="K203" s="1"/>
      <c r="L203" s="1"/>
      <c r="M203" s="1"/>
      <c r="N203" s="1"/>
      <c r="O203" s="1"/>
      <c r="P203" s="1"/>
      <c r="Q203" s="1"/>
      <c r="R203" s="1"/>
      <c r="S203" s="1"/>
      <c r="T203" s="1"/>
      <c r="U203" s="1"/>
      <c r="V203" s="1"/>
      <c r="W203" s="1"/>
      <c r="X203" s="1"/>
      <c r="Y203" s="1"/>
      <c r="Z203" s="1"/>
    </row>
    <row r="204" spans="1:26" ht="14.25" customHeight="1" x14ac:dyDescent="0.2">
      <c r="A204" s="69"/>
      <c r="B204" s="17">
        <v>194</v>
      </c>
      <c r="C204" s="6" t="s">
        <v>1455</v>
      </c>
      <c r="D204" s="18" t="s">
        <v>545</v>
      </c>
      <c r="E204" s="15" t="s">
        <v>546</v>
      </c>
      <c r="F204" s="15" t="s">
        <v>547</v>
      </c>
      <c r="G204" s="16" t="s">
        <v>65</v>
      </c>
      <c r="H204" s="16" t="s">
        <v>51</v>
      </c>
      <c r="I204" s="15" t="s">
        <v>51</v>
      </c>
      <c r="J204" s="15"/>
      <c r="K204" s="1"/>
      <c r="L204" s="1"/>
      <c r="M204" s="1"/>
      <c r="N204" s="1"/>
      <c r="O204" s="1"/>
      <c r="P204" s="1"/>
      <c r="Q204" s="1"/>
      <c r="R204" s="1"/>
      <c r="S204" s="1"/>
      <c r="T204" s="1"/>
      <c r="U204" s="1"/>
      <c r="V204" s="1"/>
      <c r="W204" s="1"/>
      <c r="X204" s="1"/>
      <c r="Y204" s="1"/>
      <c r="Z204" s="1"/>
    </row>
    <row r="205" spans="1:26" ht="14.25" hidden="1" customHeight="1" x14ac:dyDescent="0.2">
      <c r="A205" s="69"/>
      <c r="B205" s="17">
        <v>195</v>
      </c>
      <c r="C205" s="6" t="s">
        <v>1455</v>
      </c>
      <c r="D205" s="6" t="s">
        <v>548</v>
      </c>
      <c r="E205" s="15" t="s">
        <v>549</v>
      </c>
      <c r="F205" s="15" t="s">
        <v>548</v>
      </c>
      <c r="G205" s="16" t="s">
        <v>65</v>
      </c>
      <c r="H205" s="16" t="s">
        <v>37</v>
      </c>
      <c r="I205" s="15" t="s">
        <v>51</v>
      </c>
      <c r="J205" s="15"/>
      <c r="K205" s="1"/>
      <c r="L205" s="1"/>
      <c r="M205" s="1"/>
      <c r="N205" s="1"/>
      <c r="O205" s="1"/>
      <c r="P205" s="1"/>
      <c r="Q205" s="1"/>
      <c r="R205" s="1"/>
      <c r="S205" s="1"/>
      <c r="T205" s="1"/>
      <c r="U205" s="1"/>
      <c r="V205" s="1"/>
      <c r="W205" s="1"/>
      <c r="X205" s="1"/>
      <c r="Y205" s="1"/>
      <c r="Z205" s="1"/>
    </row>
    <row r="206" spans="1:26" ht="32" hidden="1" x14ac:dyDescent="0.2">
      <c r="A206" s="69"/>
      <c r="B206" s="17">
        <v>196</v>
      </c>
      <c r="C206" s="6" t="s">
        <v>1455</v>
      </c>
      <c r="D206" s="18" t="s">
        <v>550</v>
      </c>
      <c r="E206" s="15" t="s">
        <v>551</v>
      </c>
      <c r="F206" s="15" t="s">
        <v>552</v>
      </c>
      <c r="G206" s="16" t="s">
        <v>65</v>
      </c>
      <c r="H206" s="16" t="s">
        <v>37</v>
      </c>
      <c r="I206" s="15" t="s">
        <v>51</v>
      </c>
      <c r="J206" s="15"/>
      <c r="K206" s="1"/>
      <c r="L206" s="1"/>
      <c r="M206" s="1"/>
      <c r="N206" s="1"/>
      <c r="O206" s="1"/>
      <c r="P206" s="1"/>
      <c r="Q206" s="1"/>
      <c r="R206" s="1"/>
      <c r="S206" s="1"/>
      <c r="T206" s="1"/>
      <c r="U206" s="1"/>
      <c r="V206" s="1"/>
      <c r="W206" s="1"/>
      <c r="X206" s="1"/>
      <c r="Y206" s="1"/>
      <c r="Z206" s="1"/>
    </row>
    <row r="207" spans="1:26" ht="16" hidden="1" x14ac:dyDescent="0.2">
      <c r="A207" s="69"/>
      <c r="B207" s="17">
        <v>197</v>
      </c>
      <c r="C207" s="6" t="s">
        <v>1455</v>
      </c>
      <c r="D207" s="18" t="s">
        <v>553</v>
      </c>
      <c r="E207" s="15" t="s">
        <v>554</v>
      </c>
      <c r="F207" s="15" t="s">
        <v>555</v>
      </c>
      <c r="G207" s="16" t="s">
        <v>65</v>
      </c>
      <c r="H207" s="16" t="s">
        <v>37</v>
      </c>
      <c r="I207" s="15" t="s">
        <v>51</v>
      </c>
      <c r="J207" s="15"/>
      <c r="K207" s="1"/>
      <c r="L207" s="1"/>
      <c r="M207" s="1"/>
      <c r="N207" s="1"/>
      <c r="O207" s="1"/>
      <c r="P207" s="1"/>
      <c r="Q207" s="1"/>
      <c r="R207" s="1"/>
      <c r="S207" s="1"/>
      <c r="T207" s="1"/>
      <c r="U207" s="1"/>
      <c r="V207" s="1"/>
      <c r="W207" s="1"/>
      <c r="X207" s="1"/>
      <c r="Y207" s="1"/>
      <c r="Z207" s="1"/>
    </row>
    <row r="208" spans="1:26" ht="32" hidden="1" x14ac:dyDescent="0.2">
      <c r="A208" s="69"/>
      <c r="B208" s="17">
        <v>198</v>
      </c>
      <c r="C208" s="6" t="s">
        <v>1455</v>
      </c>
      <c r="D208" s="18" t="s">
        <v>556</v>
      </c>
      <c r="E208" s="15" t="s">
        <v>557</v>
      </c>
      <c r="F208" s="15" t="s">
        <v>558</v>
      </c>
      <c r="G208" s="16" t="s">
        <v>65</v>
      </c>
      <c r="H208" s="16" t="s">
        <v>37</v>
      </c>
      <c r="I208" s="15" t="s">
        <v>51</v>
      </c>
      <c r="J208" s="15"/>
      <c r="K208" s="1"/>
      <c r="L208" s="1"/>
      <c r="M208" s="1"/>
      <c r="N208" s="1"/>
      <c r="O208" s="1"/>
      <c r="P208" s="1"/>
      <c r="Q208" s="1"/>
      <c r="R208" s="1"/>
      <c r="S208" s="1"/>
      <c r="T208" s="1"/>
      <c r="U208" s="1"/>
      <c r="V208" s="1"/>
      <c r="W208" s="1"/>
      <c r="X208" s="1"/>
      <c r="Y208" s="1"/>
      <c r="Z208" s="1"/>
    </row>
    <row r="209" spans="1:26" ht="14.25" hidden="1" customHeight="1" x14ac:dyDescent="0.2">
      <c r="A209" s="69"/>
      <c r="B209" s="17">
        <v>199</v>
      </c>
      <c r="C209" s="6" t="s">
        <v>1455</v>
      </c>
      <c r="D209" s="6" t="s">
        <v>559</v>
      </c>
      <c r="E209" s="15" t="s">
        <v>560</v>
      </c>
      <c r="F209" s="15" t="s">
        <v>561</v>
      </c>
      <c r="G209" s="16" t="s">
        <v>65</v>
      </c>
      <c r="H209" s="16" t="s">
        <v>37</v>
      </c>
      <c r="I209" s="15" t="s">
        <v>51</v>
      </c>
      <c r="J209" s="15" t="s">
        <v>562</v>
      </c>
      <c r="K209" s="1"/>
      <c r="L209" s="1"/>
      <c r="M209" s="1"/>
      <c r="N209" s="1"/>
      <c r="O209" s="1"/>
      <c r="P209" s="1"/>
      <c r="Q209" s="1"/>
      <c r="R209" s="1"/>
      <c r="S209" s="1"/>
      <c r="T209" s="1"/>
      <c r="U209" s="1"/>
      <c r="V209" s="1"/>
      <c r="W209" s="1"/>
      <c r="X209" s="1"/>
      <c r="Y209" s="1"/>
      <c r="Z209" s="1"/>
    </row>
    <row r="210" spans="1:26" ht="14.25" customHeight="1" x14ac:dyDescent="0.2">
      <c r="A210" s="69"/>
      <c r="B210" s="17">
        <v>200</v>
      </c>
      <c r="C210" s="6" t="s">
        <v>1455</v>
      </c>
      <c r="D210" s="6" t="s">
        <v>563</v>
      </c>
      <c r="E210" s="15" t="s">
        <v>564</v>
      </c>
      <c r="F210" s="15" t="s">
        <v>565</v>
      </c>
      <c r="G210" s="16" t="s">
        <v>65</v>
      </c>
      <c r="H210" s="16" t="s">
        <v>51</v>
      </c>
      <c r="I210" s="15" t="s">
        <v>51</v>
      </c>
      <c r="J210" s="15"/>
      <c r="K210" s="1"/>
      <c r="L210" s="1"/>
      <c r="M210" s="1"/>
      <c r="N210" s="1"/>
      <c r="O210" s="1"/>
      <c r="P210" s="1"/>
      <c r="Q210" s="1"/>
      <c r="R210" s="1"/>
      <c r="S210" s="1"/>
      <c r="T210" s="1"/>
      <c r="U210" s="1"/>
      <c r="V210" s="1"/>
      <c r="W210" s="1"/>
      <c r="X210" s="1"/>
      <c r="Y210" s="1"/>
      <c r="Z210" s="1"/>
    </row>
    <row r="211" spans="1:26" ht="96" x14ac:dyDescent="0.2">
      <c r="A211" s="69"/>
      <c r="B211" s="17">
        <v>201</v>
      </c>
      <c r="C211" s="6" t="s">
        <v>1455</v>
      </c>
      <c r="D211" s="18" t="s">
        <v>566</v>
      </c>
      <c r="E211" s="15" t="s">
        <v>567</v>
      </c>
      <c r="F211" s="15" t="s">
        <v>568</v>
      </c>
      <c r="G211" s="16" t="s">
        <v>65</v>
      </c>
      <c r="H211" s="16" t="s">
        <v>51</v>
      </c>
      <c r="I211" s="15" t="s">
        <v>51</v>
      </c>
      <c r="J211" s="15"/>
      <c r="K211" s="1"/>
      <c r="L211" s="1"/>
      <c r="M211" s="1"/>
      <c r="N211" s="1"/>
      <c r="O211" s="1"/>
      <c r="P211" s="1"/>
      <c r="Q211" s="1"/>
      <c r="R211" s="1"/>
      <c r="S211" s="1"/>
      <c r="T211" s="1"/>
      <c r="U211" s="1"/>
      <c r="V211" s="1"/>
      <c r="W211" s="1"/>
      <c r="X211" s="1"/>
      <c r="Y211" s="1"/>
      <c r="Z211" s="1"/>
    </row>
    <row r="212" spans="1:26" ht="96" x14ac:dyDescent="0.2">
      <c r="A212" s="69"/>
      <c r="B212" s="17">
        <v>202</v>
      </c>
      <c r="C212" s="6" t="s">
        <v>1455</v>
      </c>
      <c r="D212" s="18" t="s">
        <v>569</v>
      </c>
      <c r="E212" s="15" t="s">
        <v>570</v>
      </c>
      <c r="F212" s="15" t="s">
        <v>571</v>
      </c>
      <c r="G212" s="16" t="s">
        <v>65</v>
      </c>
      <c r="H212" s="16" t="s">
        <v>51</v>
      </c>
      <c r="I212" s="15" t="s">
        <v>51</v>
      </c>
      <c r="J212" s="15"/>
      <c r="K212" s="1"/>
      <c r="L212" s="1"/>
      <c r="M212" s="1"/>
      <c r="N212" s="1"/>
      <c r="O212" s="1"/>
      <c r="P212" s="1"/>
      <c r="Q212" s="1"/>
      <c r="R212" s="1"/>
      <c r="S212" s="1"/>
      <c r="T212" s="1"/>
      <c r="U212" s="1"/>
      <c r="V212" s="1"/>
      <c r="W212" s="1"/>
      <c r="X212" s="1"/>
      <c r="Y212" s="1"/>
      <c r="Z212" s="1"/>
    </row>
    <row r="213" spans="1:26" ht="14.25" hidden="1" customHeight="1" x14ac:dyDescent="0.2">
      <c r="A213" s="69"/>
      <c r="B213" s="17">
        <v>203</v>
      </c>
      <c r="C213" s="6" t="s">
        <v>1455</v>
      </c>
      <c r="D213" s="6" t="s">
        <v>572</v>
      </c>
      <c r="E213" s="15" t="s">
        <v>573</v>
      </c>
      <c r="F213" s="15" t="s">
        <v>574</v>
      </c>
      <c r="G213" s="16" t="s">
        <v>65</v>
      </c>
      <c r="H213" s="16" t="s">
        <v>37</v>
      </c>
      <c r="I213" s="15" t="s">
        <v>51</v>
      </c>
      <c r="J213" s="15"/>
      <c r="K213" s="1"/>
      <c r="L213" s="1"/>
      <c r="M213" s="1"/>
      <c r="N213" s="1"/>
      <c r="O213" s="1"/>
      <c r="P213" s="1"/>
      <c r="Q213" s="1"/>
      <c r="R213" s="1"/>
      <c r="S213" s="1"/>
      <c r="T213" s="1"/>
      <c r="U213" s="1"/>
      <c r="V213" s="1"/>
      <c r="W213" s="1"/>
      <c r="X213" s="1"/>
      <c r="Y213" s="1"/>
      <c r="Z213" s="1"/>
    </row>
    <row r="214" spans="1:26" ht="14.25" hidden="1" customHeight="1" x14ac:dyDescent="0.2">
      <c r="A214" s="69"/>
      <c r="B214" s="17">
        <v>204</v>
      </c>
      <c r="C214" s="6" t="s">
        <v>1455</v>
      </c>
      <c r="D214" s="6" t="s">
        <v>575</v>
      </c>
      <c r="E214" s="15" t="s">
        <v>576</v>
      </c>
      <c r="F214" s="15" t="s">
        <v>575</v>
      </c>
      <c r="G214" s="16" t="s">
        <v>65</v>
      </c>
      <c r="H214" s="16" t="s">
        <v>37</v>
      </c>
      <c r="I214" s="15" t="s">
        <v>51</v>
      </c>
      <c r="J214" s="15"/>
      <c r="K214" s="1"/>
      <c r="L214" s="1"/>
      <c r="M214" s="1"/>
      <c r="N214" s="1"/>
      <c r="O214" s="1"/>
      <c r="P214" s="1"/>
      <c r="Q214" s="1"/>
      <c r="R214" s="1"/>
      <c r="S214" s="1"/>
      <c r="T214" s="1"/>
      <c r="U214" s="1"/>
      <c r="V214" s="1"/>
      <c r="W214" s="1"/>
      <c r="X214" s="1"/>
      <c r="Y214" s="1"/>
      <c r="Z214" s="1"/>
    </row>
    <row r="215" spans="1:26" ht="14.25" hidden="1" customHeight="1" x14ac:dyDescent="0.2">
      <c r="A215" s="69"/>
      <c r="B215" s="17">
        <v>205</v>
      </c>
      <c r="C215" s="6" t="s">
        <v>1455</v>
      </c>
      <c r="D215" s="6" t="s">
        <v>577</v>
      </c>
      <c r="E215" s="15" t="s">
        <v>578</v>
      </c>
      <c r="F215" s="15" t="s">
        <v>579</v>
      </c>
      <c r="G215" s="16" t="s">
        <v>65</v>
      </c>
      <c r="H215" s="16" t="s">
        <v>37</v>
      </c>
      <c r="I215" s="15" t="s">
        <v>51</v>
      </c>
      <c r="J215" s="15"/>
      <c r="K215" s="1"/>
      <c r="L215" s="1"/>
      <c r="M215" s="1"/>
      <c r="N215" s="1"/>
      <c r="O215" s="1"/>
      <c r="P215" s="1"/>
      <c r="Q215" s="1"/>
      <c r="R215" s="1"/>
      <c r="S215" s="1"/>
      <c r="T215" s="1"/>
      <c r="U215" s="1"/>
      <c r="V215" s="1"/>
      <c r="W215" s="1"/>
      <c r="X215" s="1"/>
      <c r="Y215" s="1"/>
      <c r="Z215" s="1"/>
    </row>
    <row r="216" spans="1:26" ht="14.25" hidden="1" customHeight="1" x14ac:dyDescent="0.2">
      <c r="A216" s="69"/>
      <c r="B216" s="17">
        <v>206</v>
      </c>
      <c r="C216" s="6" t="s">
        <v>1455</v>
      </c>
      <c r="D216" s="6" t="s">
        <v>580</v>
      </c>
      <c r="E216" s="15" t="s">
        <v>581</v>
      </c>
      <c r="F216" s="15" t="s">
        <v>580</v>
      </c>
      <c r="G216" s="16" t="s">
        <v>65</v>
      </c>
      <c r="H216" s="16" t="s">
        <v>37</v>
      </c>
      <c r="I216" s="15" t="s">
        <v>51</v>
      </c>
      <c r="J216" s="15"/>
      <c r="K216" s="1"/>
      <c r="L216" s="1"/>
      <c r="M216" s="1"/>
      <c r="N216" s="1"/>
      <c r="O216" s="1"/>
      <c r="P216" s="1"/>
      <c r="Q216" s="1"/>
      <c r="R216" s="1"/>
      <c r="S216" s="1"/>
      <c r="T216" s="1"/>
      <c r="U216" s="1"/>
      <c r="V216" s="1"/>
      <c r="W216" s="1"/>
      <c r="X216" s="1"/>
      <c r="Y216" s="1"/>
      <c r="Z216" s="1"/>
    </row>
    <row r="217" spans="1:26" ht="14.25" customHeight="1" x14ac:dyDescent="0.2">
      <c r="A217" s="69"/>
      <c r="B217" s="17">
        <v>207</v>
      </c>
      <c r="C217" s="6" t="s">
        <v>1455</v>
      </c>
      <c r="D217" s="6" t="s">
        <v>582</v>
      </c>
      <c r="E217" s="15" t="s">
        <v>583</v>
      </c>
      <c r="F217" s="15" t="s">
        <v>584</v>
      </c>
      <c r="G217" s="16" t="s">
        <v>65</v>
      </c>
      <c r="H217" s="16" t="s">
        <v>51</v>
      </c>
      <c r="I217" s="15" t="s">
        <v>51</v>
      </c>
      <c r="J217" s="15"/>
      <c r="K217" s="1"/>
      <c r="L217" s="1"/>
      <c r="M217" s="1"/>
      <c r="N217" s="1"/>
      <c r="O217" s="1"/>
      <c r="P217" s="1"/>
      <c r="Q217" s="1"/>
      <c r="R217" s="1"/>
      <c r="S217" s="1"/>
      <c r="T217" s="1"/>
      <c r="U217" s="1"/>
      <c r="V217" s="1"/>
      <c r="W217" s="1"/>
      <c r="X217" s="1"/>
      <c r="Y217" s="1"/>
      <c r="Z217" s="1"/>
    </row>
    <row r="218" spans="1:26" ht="14.25" hidden="1" customHeight="1" x14ac:dyDescent="0.2">
      <c r="A218" s="69"/>
      <c r="B218" s="17">
        <v>208</v>
      </c>
      <c r="C218" s="6" t="s">
        <v>1455</v>
      </c>
      <c r="D218" s="6" t="s">
        <v>585</v>
      </c>
      <c r="E218" s="15" t="s">
        <v>586</v>
      </c>
      <c r="F218" s="15" t="s">
        <v>585</v>
      </c>
      <c r="G218" s="16" t="s">
        <v>65</v>
      </c>
      <c r="H218" s="16" t="s">
        <v>37</v>
      </c>
      <c r="I218" s="15" t="s">
        <v>51</v>
      </c>
      <c r="J218" s="15"/>
      <c r="K218" s="1"/>
      <c r="L218" s="1"/>
      <c r="M218" s="1"/>
      <c r="N218" s="1"/>
      <c r="O218" s="1"/>
      <c r="P218" s="1"/>
      <c r="Q218" s="1"/>
      <c r="R218" s="1"/>
      <c r="S218" s="1"/>
      <c r="T218" s="1"/>
      <c r="U218" s="1"/>
      <c r="V218" s="1"/>
      <c r="W218" s="1"/>
      <c r="X218" s="1"/>
      <c r="Y218" s="1"/>
      <c r="Z218" s="1"/>
    </row>
    <row r="219" spans="1:26" ht="14.25" hidden="1" customHeight="1" x14ac:dyDescent="0.2">
      <c r="A219" s="69"/>
      <c r="B219" s="17">
        <v>209</v>
      </c>
      <c r="C219" s="6" t="s">
        <v>1455</v>
      </c>
      <c r="D219" s="6" t="s">
        <v>587</v>
      </c>
      <c r="E219" s="15" t="s">
        <v>588</v>
      </c>
      <c r="F219" s="15" t="s">
        <v>587</v>
      </c>
      <c r="G219" s="16" t="s">
        <v>589</v>
      </c>
      <c r="H219" s="16" t="s">
        <v>37</v>
      </c>
      <c r="I219" s="15" t="s">
        <v>37</v>
      </c>
      <c r="J219" s="15"/>
      <c r="K219" s="1"/>
      <c r="L219" s="1"/>
      <c r="M219" s="1"/>
      <c r="N219" s="1"/>
      <c r="O219" s="1"/>
      <c r="P219" s="1"/>
      <c r="Q219" s="1"/>
      <c r="R219" s="1"/>
      <c r="S219" s="1"/>
      <c r="T219" s="1"/>
      <c r="U219" s="1"/>
      <c r="V219" s="1"/>
      <c r="W219" s="1"/>
      <c r="X219" s="1"/>
      <c r="Y219" s="1"/>
      <c r="Z219" s="1"/>
    </row>
    <row r="220" spans="1:26" ht="14.25" hidden="1" customHeight="1" x14ac:dyDescent="0.2">
      <c r="A220" s="69"/>
      <c r="B220" s="17">
        <v>210</v>
      </c>
      <c r="C220" s="6" t="s">
        <v>1455</v>
      </c>
      <c r="D220" s="6" t="s">
        <v>590</v>
      </c>
      <c r="E220" s="15" t="s">
        <v>591</v>
      </c>
      <c r="F220" s="15" t="s">
        <v>590</v>
      </c>
      <c r="G220" s="16" t="s">
        <v>589</v>
      </c>
      <c r="H220" s="16" t="s">
        <v>37</v>
      </c>
      <c r="I220" s="15" t="s">
        <v>51</v>
      </c>
      <c r="J220" s="15" t="s">
        <v>592</v>
      </c>
      <c r="K220" s="1"/>
      <c r="L220" s="1"/>
      <c r="M220" s="1"/>
      <c r="N220" s="1"/>
      <c r="O220" s="1"/>
      <c r="P220" s="1"/>
      <c r="Q220" s="1"/>
      <c r="R220" s="1"/>
      <c r="S220" s="1"/>
      <c r="T220" s="1"/>
      <c r="U220" s="1"/>
      <c r="V220" s="1"/>
      <c r="W220" s="1"/>
      <c r="X220" s="1"/>
      <c r="Y220" s="1"/>
      <c r="Z220" s="1"/>
    </row>
    <row r="221" spans="1:26" ht="14.25" hidden="1" customHeight="1" x14ac:dyDescent="0.2">
      <c r="A221" s="69"/>
      <c r="B221" s="17">
        <v>211</v>
      </c>
      <c r="C221" s="6" t="s">
        <v>1455</v>
      </c>
      <c r="D221" s="6" t="s">
        <v>593</v>
      </c>
      <c r="E221" s="15" t="s">
        <v>594</v>
      </c>
      <c r="F221" s="15" t="s">
        <v>593</v>
      </c>
      <c r="G221" s="16" t="s">
        <v>589</v>
      </c>
      <c r="H221" s="16" t="s">
        <v>37</v>
      </c>
      <c r="I221" s="15" t="s">
        <v>51</v>
      </c>
      <c r="J221" s="15" t="s">
        <v>592</v>
      </c>
      <c r="K221" s="1"/>
      <c r="L221" s="1"/>
      <c r="M221" s="1"/>
      <c r="N221" s="1"/>
      <c r="O221" s="1"/>
      <c r="P221" s="1"/>
      <c r="Q221" s="1"/>
      <c r="R221" s="1"/>
      <c r="S221" s="1"/>
      <c r="T221" s="1"/>
      <c r="U221" s="1"/>
      <c r="V221" s="1"/>
      <c r="W221" s="1"/>
      <c r="X221" s="1"/>
      <c r="Y221" s="1"/>
      <c r="Z221" s="1"/>
    </row>
    <row r="222" spans="1:26" ht="14.25" hidden="1" customHeight="1" x14ac:dyDescent="0.2">
      <c r="A222" s="69"/>
      <c r="B222" s="17">
        <v>212</v>
      </c>
      <c r="C222" s="6" t="s">
        <v>1455</v>
      </c>
      <c r="D222" s="6" t="s">
        <v>595</v>
      </c>
      <c r="E222" s="15" t="s">
        <v>596</v>
      </c>
      <c r="F222" s="15" t="s">
        <v>595</v>
      </c>
      <c r="G222" s="16" t="s">
        <v>589</v>
      </c>
      <c r="H222" s="16" t="s">
        <v>37</v>
      </c>
      <c r="I222" s="15" t="s">
        <v>37</v>
      </c>
      <c r="J222" s="15"/>
      <c r="K222" s="1"/>
      <c r="L222" s="1"/>
      <c r="M222" s="1"/>
      <c r="N222" s="1"/>
      <c r="O222" s="1"/>
      <c r="P222" s="1"/>
      <c r="Q222" s="1"/>
      <c r="R222" s="1"/>
      <c r="S222" s="1"/>
      <c r="T222" s="1"/>
      <c r="U222" s="1"/>
      <c r="V222" s="1"/>
      <c r="W222" s="1"/>
      <c r="X222" s="1"/>
      <c r="Y222" s="1"/>
      <c r="Z222" s="1"/>
    </row>
    <row r="223" spans="1:26" ht="14.25" hidden="1" customHeight="1" x14ac:dyDescent="0.2">
      <c r="A223" s="69"/>
      <c r="B223" s="17">
        <v>213</v>
      </c>
      <c r="C223" s="6" t="s">
        <v>1455</v>
      </c>
      <c r="D223" s="6" t="s">
        <v>597</v>
      </c>
      <c r="E223" s="15" t="s">
        <v>598</v>
      </c>
      <c r="F223" s="15" t="s">
        <v>597</v>
      </c>
      <c r="G223" s="16" t="s">
        <v>589</v>
      </c>
      <c r="H223" s="16" t="s">
        <v>37</v>
      </c>
      <c r="I223" s="15" t="s">
        <v>37</v>
      </c>
      <c r="J223" s="15"/>
      <c r="K223" s="1"/>
      <c r="L223" s="1"/>
      <c r="M223" s="1"/>
      <c r="N223" s="1"/>
      <c r="O223" s="1"/>
      <c r="P223" s="1"/>
      <c r="Q223" s="1"/>
      <c r="R223" s="1"/>
      <c r="S223" s="1"/>
      <c r="T223" s="1"/>
      <c r="U223" s="1"/>
      <c r="V223" s="1"/>
      <c r="W223" s="1"/>
      <c r="X223" s="1"/>
      <c r="Y223" s="1"/>
      <c r="Z223" s="1"/>
    </row>
    <row r="224" spans="1:26" ht="144" hidden="1" x14ac:dyDescent="0.2">
      <c r="A224" s="69"/>
      <c r="B224" s="17">
        <v>214</v>
      </c>
      <c r="C224" s="6" t="s">
        <v>1455</v>
      </c>
      <c r="D224" s="18" t="s">
        <v>599</v>
      </c>
      <c r="E224" s="15" t="s">
        <v>600</v>
      </c>
      <c r="F224" s="15" t="s">
        <v>601</v>
      </c>
      <c r="G224" s="16" t="s">
        <v>589</v>
      </c>
      <c r="H224" s="16" t="s">
        <v>51</v>
      </c>
      <c r="I224" s="15" t="s">
        <v>51</v>
      </c>
      <c r="J224" s="15" t="s">
        <v>602</v>
      </c>
      <c r="K224" s="1"/>
      <c r="L224" s="1"/>
      <c r="M224" s="1"/>
      <c r="N224" s="1"/>
      <c r="O224" s="1"/>
      <c r="P224" s="1"/>
      <c r="Q224" s="1"/>
      <c r="R224" s="1"/>
      <c r="S224" s="1"/>
      <c r="T224" s="1"/>
      <c r="U224" s="1"/>
      <c r="V224" s="1"/>
      <c r="W224" s="1"/>
      <c r="X224" s="1"/>
      <c r="Y224" s="1"/>
      <c r="Z224" s="1"/>
    </row>
    <row r="225" spans="1:26" ht="14.25" hidden="1" customHeight="1" x14ac:dyDescent="0.2">
      <c r="A225" s="69"/>
      <c r="B225" s="17">
        <v>215</v>
      </c>
      <c r="C225" s="6" t="s">
        <v>1455</v>
      </c>
      <c r="D225" s="6" t="s">
        <v>603</v>
      </c>
      <c r="E225" s="15" t="s">
        <v>604</v>
      </c>
      <c r="F225" s="15" t="s">
        <v>603</v>
      </c>
      <c r="G225" s="16" t="s">
        <v>589</v>
      </c>
      <c r="H225" s="16" t="s">
        <v>37</v>
      </c>
      <c r="I225" s="15" t="s">
        <v>51</v>
      </c>
      <c r="J225" s="15" t="s">
        <v>592</v>
      </c>
      <c r="K225" s="1"/>
      <c r="L225" s="1"/>
      <c r="M225" s="1"/>
      <c r="N225" s="1"/>
      <c r="O225" s="1"/>
      <c r="P225" s="1"/>
      <c r="Q225" s="1"/>
      <c r="R225" s="1"/>
      <c r="S225" s="1"/>
      <c r="T225" s="1"/>
      <c r="U225" s="1"/>
      <c r="V225" s="1"/>
      <c r="W225" s="1"/>
      <c r="X225" s="1"/>
      <c r="Y225" s="1"/>
      <c r="Z225" s="1"/>
    </row>
    <row r="226" spans="1:26" ht="14.25" hidden="1" customHeight="1" x14ac:dyDescent="0.2">
      <c r="A226" s="69"/>
      <c r="B226" s="17">
        <v>216</v>
      </c>
      <c r="C226" s="6" t="s">
        <v>1455</v>
      </c>
      <c r="D226" s="6" t="s">
        <v>605</v>
      </c>
      <c r="E226" s="15" t="s">
        <v>606</v>
      </c>
      <c r="F226" s="15" t="s">
        <v>605</v>
      </c>
      <c r="G226" s="16" t="s">
        <v>589</v>
      </c>
      <c r="H226" s="16" t="s">
        <v>37</v>
      </c>
      <c r="I226" s="15" t="s">
        <v>37</v>
      </c>
      <c r="J226" s="15"/>
      <c r="K226" s="1"/>
      <c r="L226" s="1"/>
      <c r="M226" s="1"/>
      <c r="N226" s="1"/>
      <c r="O226" s="1"/>
      <c r="P226" s="1"/>
      <c r="Q226" s="1"/>
      <c r="R226" s="1"/>
      <c r="S226" s="1"/>
      <c r="T226" s="1"/>
      <c r="U226" s="1"/>
      <c r="V226" s="1"/>
      <c r="W226" s="1"/>
      <c r="X226" s="1"/>
      <c r="Y226" s="1"/>
      <c r="Z226" s="1"/>
    </row>
    <row r="227" spans="1:26" ht="14.25" customHeight="1" x14ac:dyDescent="0.2">
      <c r="A227" s="69"/>
      <c r="B227" s="17">
        <v>217</v>
      </c>
      <c r="C227" s="6" t="s">
        <v>1455</v>
      </c>
      <c r="D227" s="6" t="s">
        <v>607</v>
      </c>
      <c r="E227" s="15" t="s">
        <v>608</v>
      </c>
      <c r="F227" s="15" t="s">
        <v>607</v>
      </c>
      <c r="G227" s="16" t="s">
        <v>589</v>
      </c>
      <c r="H227" s="16" t="s">
        <v>51</v>
      </c>
      <c r="I227" s="15" t="s">
        <v>51</v>
      </c>
      <c r="J227" s="15" t="s">
        <v>610</v>
      </c>
      <c r="K227" s="1"/>
      <c r="L227" s="1"/>
      <c r="M227" s="1"/>
      <c r="N227" s="1"/>
      <c r="O227" s="1"/>
      <c r="P227" s="1"/>
      <c r="Q227" s="1"/>
      <c r="R227" s="1"/>
      <c r="S227" s="1"/>
      <c r="T227" s="1"/>
      <c r="U227" s="1"/>
      <c r="V227" s="1"/>
      <c r="W227" s="1"/>
      <c r="X227" s="1"/>
      <c r="Y227" s="1"/>
      <c r="Z227" s="1"/>
    </row>
    <row r="228" spans="1:26" ht="14.25" hidden="1" customHeight="1" x14ac:dyDescent="0.2">
      <c r="A228" s="69"/>
      <c r="B228" s="17">
        <v>218</v>
      </c>
      <c r="C228" s="6" t="s">
        <v>1455</v>
      </c>
      <c r="D228" s="6" t="s">
        <v>611</v>
      </c>
      <c r="E228" s="15" t="s">
        <v>612</v>
      </c>
      <c r="F228" s="15" t="s">
        <v>611</v>
      </c>
      <c r="G228" s="16" t="s">
        <v>589</v>
      </c>
      <c r="H228" s="16" t="s">
        <v>37</v>
      </c>
      <c r="I228" s="15" t="s">
        <v>51</v>
      </c>
      <c r="J228" s="15"/>
      <c r="K228" s="1"/>
      <c r="L228" s="1"/>
      <c r="M228" s="1"/>
      <c r="N228" s="1"/>
      <c r="O228" s="1"/>
      <c r="P228" s="1"/>
      <c r="Q228" s="1"/>
      <c r="R228" s="1"/>
      <c r="S228" s="1"/>
      <c r="T228" s="1"/>
      <c r="U228" s="1"/>
      <c r="V228" s="1"/>
      <c r="W228" s="1"/>
      <c r="X228" s="1"/>
      <c r="Y228" s="1"/>
      <c r="Z228" s="1"/>
    </row>
    <row r="229" spans="1:26" ht="14.25" hidden="1" customHeight="1" x14ac:dyDescent="0.2">
      <c r="A229" s="69"/>
      <c r="B229" s="17">
        <v>219</v>
      </c>
      <c r="C229" s="6" t="s">
        <v>1455</v>
      </c>
      <c r="D229" s="6" t="s">
        <v>613</v>
      </c>
      <c r="E229" s="15" t="s">
        <v>614</v>
      </c>
      <c r="F229" s="15" t="s">
        <v>615</v>
      </c>
      <c r="G229" s="16" t="s">
        <v>589</v>
      </c>
      <c r="H229" s="16" t="s">
        <v>37</v>
      </c>
      <c r="I229" s="15" t="s">
        <v>51</v>
      </c>
      <c r="J229" s="15"/>
      <c r="K229" s="1"/>
      <c r="L229" s="1"/>
      <c r="M229" s="1"/>
      <c r="N229" s="1"/>
      <c r="O229" s="1"/>
      <c r="P229" s="1"/>
      <c r="Q229" s="1"/>
      <c r="R229" s="1"/>
      <c r="S229" s="1"/>
      <c r="T229" s="1"/>
      <c r="U229" s="1"/>
      <c r="V229" s="1"/>
      <c r="W229" s="1"/>
      <c r="X229" s="1"/>
      <c r="Y229" s="1"/>
      <c r="Z229" s="1"/>
    </row>
    <row r="230" spans="1:26" ht="14.25" hidden="1" customHeight="1" x14ac:dyDescent="0.2">
      <c r="A230" s="69"/>
      <c r="B230" s="17">
        <v>220</v>
      </c>
      <c r="C230" s="6" t="s">
        <v>1455</v>
      </c>
      <c r="D230" s="6" t="s">
        <v>616</v>
      </c>
      <c r="E230" s="15" t="s">
        <v>617</v>
      </c>
      <c r="F230" s="15" t="s">
        <v>616</v>
      </c>
      <c r="G230" s="16" t="s">
        <v>589</v>
      </c>
      <c r="H230" s="16" t="s">
        <v>37</v>
      </c>
      <c r="I230" s="15" t="s">
        <v>37</v>
      </c>
      <c r="J230" s="15"/>
      <c r="K230" s="1"/>
      <c r="L230" s="1"/>
      <c r="M230" s="1"/>
      <c r="N230" s="1"/>
      <c r="O230" s="1"/>
      <c r="P230" s="1"/>
      <c r="Q230" s="1"/>
      <c r="R230" s="1"/>
      <c r="S230" s="1"/>
      <c r="T230" s="1"/>
      <c r="U230" s="1"/>
      <c r="V230" s="1"/>
      <c r="W230" s="1"/>
      <c r="X230" s="1"/>
      <c r="Y230" s="1"/>
      <c r="Z230" s="1"/>
    </row>
    <row r="231" spans="1:26" ht="14.25" hidden="1" customHeight="1" x14ac:dyDescent="0.2">
      <c r="A231" s="69"/>
      <c r="B231" s="17">
        <v>221</v>
      </c>
      <c r="C231" s="6" t="s">
        <v>1455</v>
      </c>
      <c r="D231" s="6" t="s">
        <v>618</v>
      </c>
      <c r="E231" s="15" t="s">
        <v>619</v>
      </c>
      <c r="F231" s="15" t="s">
        <v>618</v>
      </c>
      <c r="G231" s="16" t="s">
        <v>589</v>
      </c>
      <c r="H231" s="16" t="s">
        <v>37</v>
      </c>
      <c r="I231" s="15" t="s">
        <v>37</v>
      </c>
      <c r="J231" s="15"/>
      <c r="K231" s="1"/>
      <c r="L231" s="1"/>
      <c r="M231" s="1"/>
      <c r="N231" s="1"/>
      <c r="O231" s="1"/>
      <c r="P231" s="1"/>
      <c r="Q231" s="1"/>
      <c r="R231" s="1"/>
      <c r="S231" s="1"/>
      <c r="T231" s="1"/>
      <c r="U231" s="1"/>
      <c r="V231" s="1"/>
      <c r="W231" s="1"/>
      <c r="X231" s="1"/>
      <c r="Y231" s="1"/>
      <c r="Z231" s="1"/>
    </row>
    <row r="232" spans="1:26" ht="14.25" hidden="1" customHeight="1" x14ac:dyDescent="0.2">
      <c r="A232" s="69"/>
      <c r="B232" s="17">
        <v>222</v>
      </c>
      <c r="C232" s="6" t="s">
        <v>1455</v>
      </c>
      <c r="D232" s="6" t="s">
        <v>620</v>
      </c>
      <c r="E232" s="15" t="s">
        <v>621</v>
      </c>
      <c r="F232" s="15" t="s">
        <v>620</v>
      </c>
      <c r="G232" s="16" t="s">
        <v>589</v>
      </c>
      <c r="H232" s="16" t="s">
        <v>51</v>
      </c>
      <c r="I232" s="15" t="s">
        <v>51</v>
      </c>
      <c r="J232" s="15" t="s">
        <v>602</v>
      </c>
      <c r="K232" s="1"/>
      <c r="L232" s="1"/>
      <c r="M232" s="1"/>
      <c r="N232" s="1"/>
      <c r="O232" s="1"/>
      <c r="P232" s="1"/>
      <c r="Q232" s="1"/>
      <c r="R232" s="1"/>
      <c r="S232" s="1"/>
      <c r="T232" s="1"/>
      <c r="U232" s="1"/>
      <c r="V232" s="1"/>
      <c r="W232" s="1"/>
      <c r="X232" s="1"/>
      <c r="Y232" s="1"/>
      <c r="Z232" s="1"/>
    </row>
    <row r="233" spans="1:26" ht="14.25" hidden="1" customHeight="1" x14ac:dyDescent="0.2">
      <c r="A233" s="69"/>
      <c r="B233" s="17">
        <v>223</v>
      </c>
      <c r="C233" s="6" t="s">
        <v>1455</v>
      </c>
      <c r="D233" s="6" t="s">
        <v>622</v>
      </c>
      <c r="E233" s="15" t="s">
        <v>623</v>
      </c>
      <c r="F233" s="15" t="s">
        <v>622</v>
      </c>
      <c r="G233" s="16" t="s">
        <v>589</v>
      </c>
      <c r="H233" s="16" t="s">
        <v>37</v>
      </c>
      <c r="I233" s="15" t="s">
        <v>37</v>
      </c>
      <c r="J233" s="15"/>
      <c r="K233" s="1"/>
      <c r="L233" s="1"/>
      <c r="M233" s="1"/>
      <c r="N233" s="1"/>
      <c r="O233" s="1"/>
      <c r="P233" s="1"/>
      <c r="Q233" s="1"/>
      <c r="R233" s="1"/>
      <c r="S233" s="1"/>
      <c r="T233" s="1"/>
      <c r="U233" s="1"/>
      <c r="V233" s="1"/>
      <c r="W233" s="1"/>
      <c r="X233" s="1"/>
      <c r="Y233" s="1"/>
      <c r="Z233" s="1"/>
    </row>
    <row r="234" spans="1:26" ht="14.25" customHeight="1" x14ac:dyDescent="0.2">
      <c r="A234" s="69"/>
      <c r="B234" s="17">
        <v>224</v>
      </c>
      <c r="C234" s="6" t="s">
        <v>1455</v>
      </c>
      <c r="D234" s="6" t="s">
        <v>624</v>
      </c>
      <c r="E234" s="15" t="s">
        <v>625</v>
      </c>
      <c r="F234" s="15" t="s">
        <v>624</v>
      </c>
      <c r="G234" s="16" t="s">
        <v>589</v>
      </c>
      <c r="H234" s="16" t="s">
        <v>51</v>
      </c>
      <c r="I234" s="15" t="s">
        <v>51</v>
      </c>
      <c r="J234" s="19">
        <v>2373</v>
      </c>
      <c r="K234" s="1"/>
      <c r="L234" s="1"/>
      <c r="M234" s="1"/>
      <c r="N234" s="1"/>
      <c r="O234" s="1"/>
      <c r="P234" s="1"/>
      <c r="Q234" s="1"/>
      <c r="R234" s="1"/>
      <c r="S234" s="1"/>
      <c r="T234" s="1"/>
      <c r="U234" s="1"/>
      <c r="V234" s="1"/>
      <c r="W234" s="1"/>
      <c r="X234" s="1"/>
      <c r="Y234" s="1"/>
      <c r="Z234" s="1"/>
    </row>
    <row r="235" spans="1:26" ht="32" x14ac:dyDescent="0.2">
      <c r="A235" s="69"/>
      <c r="B235" s="17">
        <v>225</v>
      </c>
      <c r="C235" s="6" t="s">
        <v>1455</v>
      </c>
      <c r="D235" s="18" t="s">
        <v>626</v>
      </c>
      <c r="E235" s="15" t="s">
        <v>627</v>
      </c>
      <c r="F235" s="15" t="s">
        <v>628</v>
      </c>
      <c r="G235" s="16" t="s">
        <v>65</v>
      </c>
      <c r="H235" s="16" t="s">
        <v>51</v>
      </c>
      <c r="I235" s="15" t="s">
        <v>51</v>
      </c>
      <c r="J235" s="15"/>
      <c r="K235" s="1"/>
      <c r="L235" s="1"/>
      <c r="M235" s="1"/>
      <c r="N235" s="1"/>
      <c r="O235" s="1"/>
      <c r="P235" s="1"/>
      <c r="Q235" s="1"/>
      <c r="R235" s="1"/>
      <c r="S235" s="1"/>
      <c r="T235" s="1"/>
      <c r="U235" s="1"/>
      <c r="V235" s="1"/>
      <c r="W235" s="1"/>
      <c r="X235" s="1"/>
      <c r="Y235" s="1"/>
      <c r="Z235" s="1"/>
    </row>
    <row r="236" spans="1:26" ht="14.25" customHeight="1" x14ac:dyDescent="0.2">
      <c r="A236" s="69"/>
      <c r="B236" s="17">
        <v>226</v>
      </c>
      <c r="C236" s="6" t="s">
        <v>1455</v>
      </c>
      <c r="D236" s="6" t="s">
        <v>630</v>
      </c>
      <c r="E236" s="15" t="s">
        <v>631</v>
      </c>
      <c r="F236" s="15" t="s">
        <v>630</v>
      </c>
      <c r="G236" s="16" t="s">
        <v>589</v>
      </c>
      <c r="H236" s="16" t="s">
        <v>51</v>
      </c>
      <c r="I236" s="15" t="s">
        <v>51</v>
      </c>
      <c r="J236" s="15" t="s">
        <v>592</v>
      </c>
      <c r="K236" s="1"/>
      <c r="L236" s="1"/>
      <c r="M236" s="1"/>
      <c r="N236" s="1"/>
      <c r="O236" s="1"/>
      <c r="P236" s="1"/>
      <c r="Q236" s="1"/>
      <c r="R236" s="1"/>
      <c r="S236" s="1"/>
      <c r="T236" s="1"/>
      <c r="U236" s="1"/>
      <c r="V236" s="1"/>
      <c r="W236" s="1"/>
      <c r="X236" s="1"/>
      <c r="Y236" s="1"/>
      <c r="Z236" s="1"/>
    </row>
    <row r="237" spans="1:26" ht="14.25" customHeight="1" x14ac:dyDescent="0.2">
      <c r="A237" s="69"/>
      <c r="B237" s="17">
        <v>227</v>
      </c>
      <c r="C237" s="6" t="s">
        <v>1455</v>
      </c>
      <c r="D237" s="18" t="s">
        <v>632</v>
      </c>
      <c r="E237" s="15" t="s">
        <v>633</v>
      </c>
      <c r="F237" s="15" t="s">
        <v>634</v>
      </c>
      <c r="G237" s="16" t="s">
        <v>589</v>
      </c>
      <c r="H237" s="16" t="s">
        <v>51</v>
      </c>
      <c r="I237" s="15" t="s">
        <v>51</v>
      </c>
      <c r="J237" s="15"/>
      <c r="K237" s="1"/>
      <c r="L237" s="1"/>
      <c r="M237" s="1"/>
      <c r="N237" s="1"/>
      <c r="O237" s="1"/>
      <c r="P237" s="1"/>
      <c r="Q237" s="1"/>
      <c r="R237" s="1"/>
      <c r="S237" s="1"/>
      <c r="T237" s="1"/>
      <c r="U237" s="1"/>
      <c r="V237" s="1"/>
      <c r="W237" s="1"/>
      <c r="X237" s="1"/>
      <c r="Y237" s="1"/>
      <c r="Z237" s="1"/>
    </row>
    <row r="238" spans="1:26" ht="14.25" customHeight="1" x14ac:dyDescent="0.2">
      <c r="A238" s="69"/>
      <c r="B238" s="17">
        <v>228</v>
      </c>
      <c r="C238" s="6" t="s">
        <v>1455</v>
      </c>
      <c r="D238" s="6" t="s">
        <v>635</v>
      </c>
      <c r="E238" s="15" t="s">
        <v>636</v>
      </c>
      <c r="F238" s="15" t="s">
        <v>637</v>
      </c>
      <c r="G238" s="16" t="s">
        <v>589</v>
      </c>
      <c r="H238" s="16" t="s">
        <v>51</v>
      </c>
      <c r="I238" s="15" t="s">
        <v>51</v>
      </c>
      <c r="J238" s="15"/>
      <c r="K238" s="1"/>
      <c r="L238" s="1"/>
      <c r="M238" s="1"/>
      <c r="N238" s="1"/>
      <c r="O238" s="1"/>
      <c r="P238" s="1"/>
      <c r="Q238" s="1"/>
      <c r="R238" s="1"/>
      <c r="S238" s="1"/>
      <c r="T238" s="1"/>
      <c r="U238" s="1"/>
      <c r="V238" s="1"/>
      <c r="W238" s="1"/>
      <c r="X238" s="1"/>
      <c r="Y238" s="1"/>
      <c r="Z238" s="1"/>
    </row>
    <row r="239" spans="1:26" ht="14.25" customHeight="1" x14ac:dyDescent="0.2">
      <c r="A239" s="69"/>
      <c r="B239" s="17">
        <v>229</v>
      </c>
      <c r="C239" s="6" t="s">
        <v>1455</v>
      </c>
      <c r="D239" s="6" t="s">
        <v>638</v>
      </c>
      <c r="E239" s="15" t="s">
        <v>639</v>
      </c>
      <c r="F239" s="15" t="s">
        <v>638</v>
      </c>
      <c r="G239" s="16" t="s">
        <v>589</v>
      </c>
      <c r="H239" s="16" t="s">
        <v>51</v>
      </c>
      <c r="I239" s="15" t="s">
        <v>51</v>
      </c>
      <c r="J239" s="19">
        <v>2792</v>
      </c>
      <c r="K239" s="1"/>
      <c r="L239" s="1"/>
      <c r="M239" s="1"/>
      <c r="N239" s="1"/>
      <c r="O239" s="1"/>
      <c r="P239" s="1"/>
      <c r="Q239" s="1"/>
      <c r="R239" s="1"/>
      <c r="S239" s="1"/>
      <c r="T239" s="1"/>
      <c r="U239" s="1"/>
      <c r="V239" s="1"/>
      <c r="W239" s="1"/>
      <c r="X239" s="1"/>
      <c r="Y239" s="1"/>
      <c r="Z239" s="1"/>
    </row>
    <row r="240" spans="1:26" ht="96" x14ac:dyDescent="0.2">
      <c r="A240" s="69"/>
      <c r="B240" s="17">
        <v>230</v>
      </c>
      <c r="C240" s="6" t="s">
        <v>1455</v>
      </c>
      <c r="D240" s="18" t="s">
        <v>640</v>
      </c>
      <c r="E240" s="15" t="s">
        <v>641</v>
      </c>
      <c r="F240" s="15" t="s">
        <v>642</v>
      </c>
      <c r="G240" s="16" t="s">
        <v>589</v>
      </c>
      <c r="H240" s="16" t="s">
        <v>51</v>
      </c>
      <c r="I240" s="15" t="s">
        <v>51</v>
      </c>
      <c r="J240" s="15"/>
      <c r="K240" s="1"/>
      <c r="L240" s="1"/>
      <c r="M240" s="1"/>
      <c r="N240" s="1"/>
      <c r="O240" s="1"/>
      <c r="P240" s="1"/>
      <c r="Q240" s="1"/>
      <c r="R240" s="1"/>
      <c r="S240" s="1"/>
      <c r="T240" s="1"/>
      <c r="U240" s="1"/>
      <c r="V240" s="1"/>
      <c r="W240" s="1"/>
      <c r="X240" s="1"/>
      <c r="Y240" s="1"/>
      <c r="Z240" s="1"/>
    </row>
    <row r="241" spans="1:26" ht="64" x14ac:dyDescent="0.2">
      <c r="A241" s="69"/>
      <c r="B241" s="17">
        <v>231</v>
      </c>
      <c r="C241" s="6" t="s">
        <v>1455</v>
      </c>
      <c r="D241" s="18" t="s">
        <v>643</v>
      </c>
      <c r="E241" s="15" t="s">
        <v>644</v>
      </c>
      <c r="F241" s="15" t="s">
        <v>645</v>
      </c>
      <c r="G241" s="16" t="s">
        <v>589</v>
      </c>
      <c r="H241" s="16" t="s">
        <v>51</v>
      </c>
      <c r="I241" s="15" t="s">
        <v>51</v>
      </c>
      <c r="J241" s="15"/>
      <c r="K241" s="1"/>
      <c r="L241" s="1"/>
      <c r="M241" s="1"/>
      <c r="N241" s="1"/>
      <c r="O241" s="1"/>
      <c r="P241" s="1"/>
      <c r="Q241" s="1"/>
      <c r="R241" s="1"/>
      <c r="S241" s="1"/>
      <c r="T241" s="1"/>
      <c r="U241" s="1"/>
      <c r="V241" s="1"/>
      <c r="W241" s="1"/>
      <c r="X241" s="1"/>
      <c r="Y241" s="1"/>
      <c r="Z241" s="1"/>
    </row>
    <row r="242" spans="1:26" ht="14.25" hidden="1" customHeight="1" x14ac:dyDescent="0.2">
      <c r="A242" s="69"/>
      <c r="B242" s="17">
        <v>232</v>
      </c>
      <c r="C242" s="6" t="s">
        <v>1455</v>
      </c>
      <c r="D242" s="6" t="s">
        <v>646</v>
      </c>
      <c r="E242" s="15" t="s">
        <v>647</v>
      </c>
      <c r="F242" s="15" t="s">
        <v>646</v>
      </c>
      <c r="G242" s="16" t="s">
        <v>589</v>
      </c>
      <c r="H242" s="16" t="s">
        <v>37</v>
      </c>
      <c r="I242" s="15" t="s">
        <v>37</v>
      </c>
      <c r="J242" s="15"/>
      <c r="K242" s="1"/>
      <c r="L242" s="1"/>
      <c r="M242" s="1"/>
      <c r="N242" s="1"/>
      <c r="O242" s="1"/>
      <c r="P242" s="1"/>
      <c r="Q242" s="1"/>
      <c r="R242" s="1"/>
      <c r="S242" s="1"/>
      <c r="T242" s="1"/>
      <c r="U242" s="1"/>
      <c r="V242" s="1"/>
      <c r="W242" s="1"/>
      <c r="X242" s="1"/>
      <c r="Y242" s="1"/>
      <c r="Z242" s="1"/>
    </row>
    <row r="243" spans="1:26" ht="14.25" hidden="1" customHeight="1" x14ac:dyDescent="0.2">
      <c r="A243" s="69"/>
      <c r="B243" s="17">
        <v>233</v>
      </c>
      <c r="C243" s="6" t="s">
        <v>1455</v>
      </c>
      <c r="D243" s="6" t="s">
        <v>648</v>
      </c>
      <c r="E243" s="15" t="s">
        <v>649</v>
      </c>
      <c r="F243" s="15" t="s">
        <v>650</v>
      </c>
      <c r="G243" s="16" t="s">
        <v>589</v>
      </c>
      <c r="H243" s="16" t="s">
        <v>37</v>
      </c>
      <c r="I243" s="15" t="s">
        <v>51</v>
      </c>
      <c r="J243" s="15"/>
      <c r="K243" s="1"/>
      <c r="L243" s="1"/>
      <c r="M243" s="1"/>
      <c r="N243" s="1"/>
      <c r="O243" s="1"/>
      <c r="P243" s="1"/>
      <c r="Q243" s="1"/>
      <c r="R243" s="1"/>
      <c r="S243" s="1"/>
      <c r="T243" s="1"/>
      <c r="U243" s="1"/>
      <c r="V243" s="1"/>
      <c r="W243" s="1"/>
      <c r="X243" s="1"/>
      <c r="Y243" s="1"/>
      <c r="Z243" s="1"/>
    </row>
    <row r="244" spans="1:26" ht="32" x14ac:dyDescent="0.2">
      <c r="A244" s="69"/>
      <c r="B244" s="17">
        <v>234</v>
      </c>
      <c r="C244" s="6" t="s">
        <v>1455</v>
      </c>
      <c r="D244" s="18" t="s">
        <v>651</v>
      </c>
      <c r="E244" s="15" t="s">
        <v>652</v>
      </c>
      <c r="F244" s="15" t="s">
        <v>653</v>
      </c>
      <c r="G244" s="16" t="s">
        <v>589</v>
      </c>
      <c r="H244" s="16" t="s">
        <v>51</v>
      </c>
      <c r="I244" s="15" t="s">
        <v>51</v>
      </c>
      <c r="J244" s="19">
        <v>8283</v>
      </c>
      <c r="K244" s="1"/>
      <c r="L244" s="1"/>
      <c r="M244" s="1"/>
      <c r="N244" s="1"/>
      <c r="O244" s="1"/>
      <c r="P244" s="1"/>
      <c r="Q244" s="1"/>
      <c r="R244" s="1"/>
      <c r="S244" s="1"/>
      <c r="T244" s="1"/>
      <c r="U244" s="1"/>
      <c r="V244" s="1"/>
      <c r="W244" s="1"/>
      <c r="X244" s="1"/>
      <c r="Y244" s="1"/>
      <c r="Z244" s="1"/>
    </row>
    <row r="245" spans="1:26" ht="14.25" hidden="1" customHeight="1" x14ac:dyDescent="0.2">
      <c r="A245" s="69"/>
      <c r="B245" s="17">
        <v>235</v>
      </c>
      <c r="C245" s="6" t="s">
        <v>1455</v>
      </c>
      <c r="D245" s="6" t="s">
        <v>654</v>
      </c>
      <c r="E245" s="15" t="s">
        <v>655</v>
      </c>
      <c r="F245" s="15" t="s">
        <v>654</v>
      </c>
      <c r="G245" s="16" t="s">
        <v>589</v>
      </c>
      <c r="H245" s="16" t="s">
        <v>51</v>
      </c>
      <c r="I245" s="15" t="s">
        <v>51</v>
      </c>
      <c r="J245" s="15" t="s">
        <v>602</v>
      </c>
      <c r="K245" s="1"/>
      <c r="L245" s="1"/>
      <c r="M245" s="1"/>
      <c r="N245" s="1"/>
      <c r="O245" s="1"/>
      <c r="P245" s="1"/>
      <c r="Q245" s="1"/>
      <c r="R245" s="1"/>
      <c r="S245" s="1"/>
      <c r="T245" s="1"/>
      <c r="U245" s="1"/>
      <c r="V245" s="1"/>
      <c r="W245" s="1"/>
      <c r="X245" s="1"/>
      <c r="Y245" s="1"/>
      <c r="Z245" s="1"/>
    </row>
    <row r="246" spans="1:26" ht="14.25" customHeight="1" x14ac:dyDescent="0.2">
      <c r="A246" s="69"/>
      <c r="B246" s="17">
        <v>236</v>
      </c>
      <c r="C246" s="6" t="s">
        <v>1455</v>
      </c>
      <c r="D246" s="6" t="s">
        <v>656</v>
      </c>
      <c r="E246" s="15" t="s">
        <v>657</v>
      </c>
      <c r="F246" s="15" t="s">
        <v>658</v>
      </c>
      <c r="G246" s="16" t="s">
        <v>589</v>
      </c>
      <c r="H246" s="16" t="s">
        <v>51</v>
      </c>
      <c r="I246" s="15" t="s">
        <v>51</v>
      </c>
      <c r="J246" s="19">
        <v>2083</v>
      </c>
      <c r="K246" s="1"/>
      <c r="L246" s="1"/>
      <c r="M246" s="1"/>
      <c r="N246" s="1"/>
      <c r="O246" s="1"/>
      <c r="P246" s="1"/>
      <c r="Q246" s="1"/>
      <c r="R246" s="1"/>
      <c r="S246" s="1"/>
      <c r="T246" s="1"/>
      <c r="U246" s="1"/>
      <c r="V246" s="1"/>
      <c r="W246" s="1"/>
      <c r="X246" s="1"/>
      <c r="Y246" s="1"/>
      <c r="Z246" s="1"/>
    </row>
    <row r="247" spans="1:26" ht="14.25" hidden="1" customHeight="1" x14ac:dyDescent="0.2">
      <c r="A247" s="69"/>
      <c r="B247" s="17">
        <v>237</v>
      </c>
      <c r="C247" s="6" t="s">
        <v>1455</v>
      </c>
      <c r="D247" s="6" t="s">
        <v>659</v>
      </c>
      <c r="E247" s="15" t="s">
        <v>660</v>
      </c>
      <c r="F247" s="15" t="s">
        <v>659</v>
      </c>
      <c r="G247" s="16" t="s">
        <v>589</v>
      </c>
      <c r="H247" s="16" t="s">
        <v>37</v>
      </c>
      <c r="I247" s="15" t="s">
        <v>51</v>
      </c>
      <c r="J247" s="15"/>
      <c r="K247" s="1"/>
      <c r="L247" s="1"/>
      <c r="M247" s="1"/>
      <c r="N247" s="1"/>
      <c r="O247" s="1"/>
      <c r="P247" s="1"/>
      <c r="Q247" s="1"/>
      <c r="R247" s="1"/>
      <c r="S247" s="1"/>
      <c r="T247" s="1"/>
      <c r="U247" s="1"/>
      <c r="V247" s="1"/>
      <c r="W247" s="1"/>
      <c r="X247" s="1"/>
      <c r="Y247" s="1"/>
      <c r="Z247" s="1"/>
    </row>
    <row r="248" spans="1:26" ht="14.25" hidden="1" customHeight="1" x14ac:dyDescent="0.2">
      <c r="A248" s="69"/>
      <c r="B248" s="17">
        <v>238</v>
      </c>
      <c r="C248" s="6" t="s">
        <v>1455</v>
      </c>
      <c r="D248" s="18" t="s">
        <v>661</v>
      </c>
      <c r="E248" s="15" t="s">
        <v>662</v>
      </c>
      <c r="F248" s="15" t="s">
        <v>663</v>
      </c>
      <c r="G248" s="16" t="s">
        <v>589</v>
      </c>
      <c r="H248" s="16" t="s">
        <v>51</v>
      </c>
      <c r="I248" s="15" t="s">
        <v>51</v>
      </c>
      <c r="J248" s="15" t="s">
        <v>602</v>
      </c>
      <c r="K248" s="1"/>
      <c r="L248" s="1"/>
      <c r="M248" s="1"/>
      <c r="N248" s="1"/>
      <c r="O248" s="1"/>
      <c r="P248" s="1"/>
      <c r="Q248" s="1"/>
      <c r="R248" s="1"/>
      <c r="S248" s="1"/>
      <c r="T248" s="1"/>
      <c r="U248" s="1"/>
      <c r="V248" s="1"/>
      <c r="W248" s="1"/>
      <c r="X248" s="1"/>
      <c r="Y248" s="1"/>
      <c r="Z248" s="1"/>
    </row>
    <row r="249" spans="1:26" ht="14.25" hidden="1" customHeight="1" x14ac:dyDescent="0.2">
      <c r="A249" s="69"/>
      <c r="B249" s="17">
        <v>239</v>
      </c>
      <c r="C249" s="6" t="s">
        <v>1455</v>
      </c>
      <c r="D249" s="6" t="s">
        <v>664</v>
      </c>
      <c r="E249" s="15" t="s">
        <v>665</v>
      </c>
      <c r="F249" s="15" t="s">
        <v>664</v>
      </c>
      <c r="G249" s="16" t="s">
        <v>589</v>
      </c>
      <c r="H249" s="16" t="s">
        <v>37</v>
      </c>
      <c r="I249" s="15" t="s">
        <v>51</v>
      </c>
      <c r="J249" s="15"/>
      <c r="K249" s="1"/>
      <c r="L249" s="1"/>
      <c r="M249" s="1"/>
      <c r="N249" s="1"/>
      <c r="O249" s="1"/>
      <c r="P249" s="1"/>
      <c r="Q249" s="1"/>
      <c r="R249" s="1"/>
      <c r="S249" s="1"/>
      <c r="T249" s="1"/>
      <c r="U249" s="1"/>
      <c r="V249" s="1"/>
      <c r="W249" s="1"/>
      <c r="X249" s="1"/>
      <c r="Y249" s="1"/>
      <c r="Z249" s="1"/>
    </row>
    <row r="250" spans="1:26" ht="38.25" hidden="1" customHeight="1" x14ac:dyDescent="0.2">
      <c r="A250" s="69"/>
      <c r="B250" s="17">
        <v>240</v>
      </c>
      <c r="C250" s="6" t="s">
        <v>1455</v>
      </c>
      <c r="D250" s="6" t="s">
        <v>666</v>
      </c>
      <c r="E250" s="15" t="s">
        <v>667</v>
      </c>
      <c r="F250" s="15" t="s">
        <v>666</v>
      </c>
      <c r="G250" s="16" t="s">
        <v>589</v>
      </c>
      <c r="H250" s="16" t="s">
        <v>37</v>
      </c>
      <c r="I250" s="15" t="s">
        <v>51</v>
      </c>
      <c r="J250" s="15"/>
      <c r="K250" s="1"/>
      <c r="L250" s="1"/>
      <c r="M250" s="1"/>
      <c r="N250" s="1"/>
      <c r="O250" s="1"/>
      <c r="P250" s="1"/>
      <c r="Q250" s="1"/>
      <c r="R250" s="1"/>
      <c r="S250" s="1"/>
      <c r="T250" s="1"/>
      <c r="U250" s="1"/>
      <c r="V250" s="1"/>
      <c r="W250" s="1"/>
      <c r="X250" s="1"/>
      <c r="Y250" s="1"/>
      <c r="Z250" s="1"/>
    </row>
    <row r="251" spans="1:26" ht="14.25" customHeight="1" x14ac:dyDescent="0.2">
      <c r="A251" s="69"/>
      <c r="B251" s="17">
        <v>241</v>
      </c>
      <c r="C251" s="6" t="s">
        <v>1455</v>
      </c>
      <c r="D251" s="6" t="s">
        <v>668</v>
      </c>
      <c r="E251" s="15" t="s">
        <v>669</v>
      </c>
      <c r="F251" s="15" t="s">
        <v>670</v>
      </c>
      <c r="G251" s="16" t="s">
        <v>589</v>
      </c>
      <c r="H251" s="16" t="s">
        <v>51</v>
      </c>
      <c r="I251" s="15" t="s">
        <v>51</v>
      </c>
      <c r="J251" s="19">
        <v>1445</v>
      </c>
      <c r="K251" s="1"/>
      <c r="L251" s="1"/>
      <c r="M251" s="1"/>
      <c r="N251" s="1"/>
      <c r="O251" s="1"/>
      <c r="P251" s="1"/>
      <c r="Q251" s="1"/>
      <c r="R251" s="1"/>
      <c r="S251" s="1"/>
      <c r="T251" s="1"/>
      <c r="U251" s="1"/>
      <c r="V251" s="1"/>
      <c r="W251" s="1"/>
      <c r="X251" s="1"/>
      <c r="Y251" s="1"/>
      <c r="Z251" s="1"/>
    </row>
    <row r="252" spans="1:26" ht="38.25" hidden="1" customHeight="1" x14ac:dyDescent="0.2">
      <c r="A252" s="69"/>
      <c r="B252" s="17">
        <v>242</v>
      </c>
      <c r="C252" s="6" t="s">
        <v>1455</v>
      </c>
      <c r="D252" s="6" t="s">
        <v>671</v>
      </c>
      <c r="E252" s="15" t="s">
        <v>672</v>
      </c>
      <c r="F252" s="15" t="s">
        <v>671</v>
      </c>
      <c r="G252" s="16" t="s">
        <v>589</v>
      </c>
      <c r="H252" s="16" t="s">
        <v>37</v>
      </c>
      <c r="I252" s="15" t="s">
        <v>37</v>
      </c>
      <c r="J252" s="15"/>
      <c r="K252" s="1"/>
      <c r="L252" s="1"/>
      <c r="M252" s="1"/>
      <c r="N252" s="1"/>
      <c r="O252" s="1"/>
      <c r="P252" s="1"/>
      <c r="Q252" s="1"/>
      <c r="R252" s="1"/>
      <c r="S252" s="1"/>
      <c r="T252" s="1"/>
      <c r="U252" s="1"/>
      <c r="V252" s="1"/>
      <c r="W252" s="1"/>
      <c r="X252" s="1"/>
      <c r="Y252" s="1"/>
      <c r="Z252" s="1"/>
    </row>
    <row r="253" spans="1:26" ht="14.25" customHeight="1" x14ac:dyDescent="0.2">
      <c r="A253" s="69"/>
      <c r="B253" s="17">
        <v>243</v>
      </c>
      <c r="C253" s="6" t="s">
        <v>1455</v>
      </c>
      <c r="D253" s="6" t="s">
        <v>673</v>
      </c>
      <c r="E253" s="15" t="s">
        <v>674</v>
      </c>
      <c r="F253" s="15" t="s">
        <v>675</v>
      </c>
      <c r="G253" s="16" t="s">
        <v>589</v>
      </c>
      <c r="H253" s="16" t="s">
        <v>51</v>
      </c>
      <c r="I253" s="15" t="s">
        <v>51</v>
      </c>
      <c r="J253" s="19">
        <v>2664</v>
      </c>
      <c r="K253" s="1"/>
      <c r="L253" s="1"/>
      <c r="M253" s="1"/>
      <c r="N253" s="1"/>
      <c r="O253" s="1"/>
      <c r="P253" s="1"/>
      <c r="Q253" s="1"/>
      <c r="R253" s="1"/>
      <c r="S253" s="1"/>
      <c r="T253" s="1"/>
      <c r="U253" s="1"/>
      <c r="V253" s="1"/>
      <c r="W253" s="1"/>
      <c r="X253" s="1"/>
      <c r="Y253" s="1"/>
      <c r="Z253" s="1"/>
    </row>
    <row r="254" spans="1:26" ht="14.25" hidden="1" customHeight="1" x14ac:dyDescent="0.2">
      <c r="A254" s="69"/>
      <c r="B254" s="17">
        <v>244</v>
      </c>
      <c r="C254" s="6" t="s">
        <v>1455</v>
      </c>
      <c r="D254" s="6" t="s">
        <v>676</v>
      </c>
      <c r="E254" s="15" t="s">
        <v>677</v>
      </c>
      <c r="F254" s="15" t="s">
        <v>678</v>
      </c>
      <c r="G254" s="16" t="s">
        <v>589</v>
      </c>
      <c r="H254" s="16" t="s">
        <v>51</v>
      </c>
      <c r="I254" s="15" t="s">
        <v>51</v>
      </c>
      <c r="J254" s="15" t="s">
        <v>602</v>
      </c>
      <c r="K254" s="1"/>
      <c r="L254" s="1"/>
      <c r="M254" s="1"/>
      <c r="N254" s="1"/>
      <c r="O254" s="1"/>
      <c r="P254" s="1"/>
      <c r="Q254" s="1"/>
      <c r="R254" s="1"/>
      <c r="S254" s="1"/>
      <c r="T254" s="1"/>
      <c r="U254" s="1"/>
      <c r="V254" s="1"/>
      <c r="W254" s="1"/>
      <c r="X254" s="1"/>
      <c r="Y254" s="1"/>
      <c r="Z254" s="1"/>
    </row>
    <row r="255" spans="1:26" ht="14.25" hidden="1" customHeight="1" x14ac:dyDescent="0.2">
      <c r="A255" s="69"/>
      <c r="B255" s="17">
        <v>245</v>
      </c>
      <c r="C255" s="6" t="s">
        <v>1455</v>
      </c>
      <c r="D255" s="18" t="s">
        <v>679</v>
      </c>
      <c r="E255" s="15" t="s">
        <v>680</v>
      </c>
      <c r="F255" s="15" t="s">
        <v>681</v>
      </c>
      <c r="G255" s="16" t="s">
        <v>589</v>
      </c>
      <c r="H255" s="16" t="s">
        <v>51</v>
      </c>
      <c r="I255" s="15" t="s">
        <v>51</v>
      </c>
      <c r="J255" s="15" t="s">
        <v>602</v>
      </c>
      <c r="K255" s="1"/>
      <c r="L255" s="1"/>
      <c r="M255" s="1"/>
      <c r="N255" s="1"/>
      <c r="O255" s="1"/>
      <c r="P255" s="1"/>
      <c r="Q255" s="1"/>
      <c r="R255" s="1"/>
      <c r="S255" s="1"/>
      <c r="T255" s="1"/>
      <c r="U255" s="1"/>
      <c r="V255" s="1"/>
      <c r="W255" s="1"/>
      <c r="X255" s="1"/>
      <c r="Y255" s="1"/>
      <c r="Z255" s="1"/>
    </row>
    <row r="256" spans="1:26" ht="14.25" customHeight="1" x14ac:dyDescent="0.2">
      <c r="A256" s="69"/>
      <c r="B256" s="17">
        <v>246</v>
      </c>
      <c r="C256" s="6" t="s">
        <v>1455</v>
      </c>
      <c r="D256" s="6" t="s">
        <v>682</v>
      </c>
      <c r="E256" s="15" t="s">
        <v>683</v>
      </c>
      <c r="F256" s="15" t="s">
        <v>684</v>
      </c>
      <c r="G256" s="16" t="s">
        <v>589</v>
      </c>
      <c r="H256" s="16" t="s">
        <v>51</v>
      </c>
      <c r="I256" s="15" t="s">
        <v>51</v>
      </c>
      <c r="J256" s="19">
        <v>1979</v>
      </c>
      <c r="K256" s="1"/>
      <c r="L256" s="1"/>
      <c r="M256" s="1"/>
      <c r="N256" s="1"/>
      <c r="O256" s="1"/>
      <c r="P256" s="1"/>
      <c r="Q256" s="1"/>
      <c r="R256" s="1"/>
      <c r="S256" s="1"/>
      <c r="T256" s="1"/>
      <c r="U256" s="1"/>
      <c r="V256" s="1"/>
      <c r="W256" s="1"/>
      <c r="X256" s="1"/>
      <c r="Y256" s="1"/>
      <c r="Z256" s="1"/>
    </row>
    <row r="257" spans="1:26" ht="14.25" hidden="1" customHeight="1" x14ac:dyDescent="0.2">
      <c r="A257" s="69"/>
      <c r="B257" s="17">
        <v>247</v>
      </c>
      <c r="C257" s="6" t="s">
        <v>1455</v>
      </c>
      <c r="D257" s="6" t="s">
        <v>685</v>
      </c>
      <c r="E257" s="15" t="s">
        <v>686</v>
      </c>
      <c r="F257" s="15" t="s">
        <v>685</v>
      </c>
      <c r="G257" s="16" t="s">
        <v>65</v>
      </c>
      <c r="H257" s="16" t="s">
        <v>37</v>
      </c>
      <c r="I257" s="15" t="s">
        <v>51</v>
      </c>
      <c r="J257" s="15"/>
      <c r="K257" s="1"/>
      <c r="L257" s="1"/>
      <c r="M257" s="1"/>
      <c r="N257" s="1"/>
      <c r="O257" s="1"/>
      <c r="P257" s="1"/>
      <c r="Q257" s="1"/>
      <c r="R257" s="1"/>
      <c r="S257" s="1"/>
      <c r="T257" s="1"/>
      <c r="U257" s="1"/>
      <c r="V257" s="1"/>
      <c r="W257" s="1"/>
      <c r="X257" s="1"/>
      <c r="Y257" s="1"/>
      <c r="Z257" s="1"/>
    </row>
    <row r="258" spans="1:26" ht="14.25" hidden="1" customHeight="1" x14ac:dyDescent="0.2">
      <c r="A258" s="69"/>
      <c r="B258" s="17">
        <v>248</v>
      </c>
      <c r="C258" s="6" t="s">
        <v>1455</v>
      </c>
      <c r="D258" s="6" t="s">
        <v>687</v>
      </c>
      <c r="E258" s="15" t="s">
        <v>688</v>
      </c>
      <c r="F258" s="15" t="s">
        <v>687</v>
      </c>
      <c r="G258" s="16" t="s">
        <v>589</v>
      </c>
      <c r="H258" s="16" t="s">
        <v>51</v>
      </c>
      <c r="I258" s="15" t="s">
        <v>51</v>
      </c>
      <c r="J258" s="15" t="s">
        <v>602</v>
      </c>
      <c r="K258" s="1"/>
      <c r="L258" s="1"/>
      <c r="M258" s="1"/>
      <c r="N258" s="1"/>
      <c r="O258" s="1"/>
      <c r="P258" s="1"/>
      <c r="Q258" s="1"/>
      <c r="R258" s="1"/>
      <c r="S258" s="1"/>
      <c r="T258" s="1"/>
      <c r="U258" s="1"/>
      <c r="V258" s="1"/>
      <c r="W258" s="1"/>
      <c r="X258" s="1"/>
      <c r="Y258" s="1"/>
      <c r="Z258" s="1"/>
    </row>
    <row r="259" spans="1:26" ht="14.25" hidden="1" customHeight="1" x14ac:dyDescent="0.2">
      <c r="A259" s="69"/>
      <c r="B259" s="17">
        <v>249</v>
      </c>
      <c r="C259" s="6" t="s">
        <v>1455</v>
      </c>
      <c r="D259" s="6" t="s">
        <v>689</v>
      </c>
      <c r="E259" s="15" t="s">
        <v>690</v>
      </c>
      <c r="F259" s="15" t="s">
        <v>691</v>
      </c>
      <c r="G259" s="16" t="s">
        <v>65</v>
      </c>
      <c r="H259" s="16" t="s">
        <v>37</v>
      </c>
      <c r="I259" s="15" t="s">
        <v>51</v>
      </c>
      <c r="J259" s="15"/>
      <c r="K259" s="1"/>
      <c r="L259" s="1"/>
      <c r="M259" s="1"/>
      <c r="N259" s="1"/>
      <c r="O259" s="1"/>
      <c r="P259" s="1"/>
      <c r="Q259" s="1"/>
      <c r="R259" s="1"/>
      <c r="S259" s="1"/>
      <c r="T259" s="1"/>
      <c r="U259" s="1"/>
      <c r="V259" s="1"/>
      <c r="W259" s="1"/>
      <c r="X259" s="1"/>
      <c r="Y259" s="1"/>
      <c r="Z259" s="1"/>
    </row>
    <row r="260" spans="1:26" ht="14.25" customHeight="1" x14ac:dyDescent="0.2">
      <c r="A260" s="69"/>
      <c r="B260" s="17">
        <v>250</v>
      </c>
      <c r="C260" s="6" t="s">
        <v>1455</v>
      </c>
      <c r="D260" s="6" t="s">
        <v>692</v>
      </c>
      <c r="E260" s="15" t="s">
        <v>693</v>
      </c>
      <c r="F260" s="15" t="s">
        <v>694</v>
      </c>
      <c r="G260" s="16" t="s">
        <v>589</v>
      </c>
      <c r="H260" s="16" t="s">
        <v>51</v>
      </c>
      <c r="I260" s="15" t="s">
        <v>51</v>
      </c>
      <c r="J260" s="15"/>
      <c r="K260" s="1"/>
      <c r="L260" s="1"/>
      <c r="M260" s="1"/>
      <c r="N260" s="1"/>
      <c r="O260" s="1"/>
      <c r="P260" s="1"/>
      <c r="Q260" s="1"/>
      <c r="R260" s="1"/>
      <c r="S260" s="1"/>
      <c r="T260" s="1"/>
      <c r="U260" s="1"/>
      <c r="V260" s="1"/>
      <c r="W260" s="1"/>
      <c r="X260" s="1"/>
      <c r="Y260" s="1"/>
      <c r="Z260" s="1"/>
    </row>
    <row r="261" spans="1:26" ht="14.25" hidden="1" customHeight="1" x14ac:dyDescent="0.2">
      <c r="A261" s="69"/>
      <c r="B261" s="17">
        <v>251</v>
      </c>
      <c r="C261" s="6" t="s">
        <v>1455</v>
      </c>
      <c r="D261" s="6" t="s">
        <v>695</v>
      </c>
      <c r="E261" s="15" t="s">
        <v>696</v>
      </c>
      <c r="F261" s="15" t="s">
        <v>695</v>
      </c>
      <c r="G261" s="16" t="s">
        <v>65</v>
      </c>
      <c r="H261" s="16" t="s">
        <v>37</v>
      </c>
      <c r="I261" s="15" t="s">
        <v>51</v>
      </c>
      <c r="J261" s="15"/>
      <c r="K261" s="1"/>
      <c r="L261" s="1"/>
      <c r="M261" s="1"/>
      <c r="N261" s="1"/>
      <c r="O261" s="1"/>
      <c r="P261" s="1"/>
      <c r="Q261" s="1"/>
      <c r="R261" s="1"/>
      <c r="S261" s="1"/>
      <c r="T261" s="1"/>
      <c r="U261" s="1"/>
      <c r="V261" s="1"/>
      <c r="W261" s="1"/>
      <c r="X261" s="1"/>
      <c r="Y261" s="1"/>
      <c r="Z261" s="1"/>
    </row>
    <row r="262" spans="1:26" ht="14.25" customHeight="1" x14ac:dyDescent="0.2">
      <c r="A262" s="69"/>
      <c r="B262" s="17">
        <v>252</v>
      </c>
      <c r="C262" s="6" t="s">
        <v>1455</v>
      </c>
      <c r="D262" s="6" t="s">
        <v>697</v>
      </c>
      <c r="E262" s="15" t="s">
        <v>698</v>
      </c>
      <c r="F262" s="15" t="s">
        <v>699</v>
      </c>
      <c r="G262" s="16" t="s">
        <v>589</v>
      </c>
      <c r="H262" s="16" t="s">
        <v>51</v>
      </c>
      <c r="I262" s="15" t="s">
        <v>51</v>
      </c>
      <c r="J262" s="15"/>
      <c r="K262" s="1"/>
      <c r="L262" s="1"/>
      <c r="M262" s="1"/>
      <c r="N262" s="1"/>
      <c r="O262" s="1"/>
      <c r="P262" s="1"/>
      <c r="Q262" s="1"/>
      <c r="R262" s="1"/>
      <c r="S262" s="1"/>
      <c r="T262" s="1"/>
      <c r="U262" s="1"/>
      <c r="V262" s="1"/>
      <c r="W262" s="1"/>
      <c r="X262" s="1"/>
      <c r="Y262" s="1"/>
      <c r="Z262" s="1"/>
    </row>
    <row r="263" spans="1:26" ht="14.25" customHeight="1" x14ac:dyDescent="0.2">
      <c r="A263" s="69"/>
      <c r="B263" s="17">
        <v>253</v>
      </c>
      <c r="C263" s="6" t="s">
        <v>1455</v>
      </c>
      <c r="D263" s="18" t="s">
        <v>700</v>
      </c>
      <c r="E263" s="15" t="s">
        <v>701</v>
      </c>
      <c r="F263" s="15" t="s">
        <v>702</v>
      </c>
      <c r="G263" s="16" t="s">
        <v>589</v>
      </c>
      <c r="H263" s="16" t="s">
        <v>51</v>
      </c>
      <c r="I263" s="15" t="s">
        <v>51</v>
      </c>
      <c r="J263" s="15"/>
      <c r="K263" s="1"/>
      <c r="L263" s="1"/>
      <c r="M263" s="1"/>
      <c r="N263" s="1"/>
      <c r="O263" s="1"/>
      <c r="P263" s="1"/>
      <c r="Q263" s="1"/>
      <c r="R263" s="1"/>
      <c r="S263" s="1"/>
      <c r="T263" s="1"/>
      <c r="U263" s="1"/>
      <c r="V263" s="1"/>
      <c r="W263" s="1"/>
      <c r="X263" s="1"/>
      <c r="Y263" s="1"/>
      <c r="Z263" s="1"/>
    </row>
    <row r="264" spans="1:26" ht="14.25" hidden="1" customHeight="1" x14ac:dyDescent="0.2">
      <c r="A264" s="69"/>
      <c r="B264" s="17">
        <v>254</v>
      </c>
      <c r="C264" s="6" t="s">
        <v>1455</v>
      </c>
      <c r="D264" s="6" t="s">
        <v>703</v>
      </c>
      <c r="E264" s="15" t="s">
        <v>704</v>
      </c>
      <c r="F264" s="15" t="s">
        <v>705</v>
      </c>
      <c r="G264" s="16" t="s">
        <v>589</v>
      </c>
      <c r="H264" s="16" t="s">
        <v>51</v>
      </c>
      <c r="I264" s="15" t="s">
        <v>51</v>
      </c>
      <c r="J264" s="15" t="s">
        <v>602</v>
      </c>
      <c r="K264" s="1"/>
      <c r="L264" s="1"/>
      <c r="M264" s="1"/>
      <c r="N264" s="1"/>
      <c r="O264" s="1"/>
      <c r="P264" s="1"/>
      <c r="Q264" s="1"/>
      <c r="R264" s="1"/>
      <c r="S264" s="1"/>
      <c r="T264" s="1"/>
      <c r="U264" s="1"/>
      <c r="V264" s="1"/>
      <c r="W264" s="1"/>
      <c r="X264" s="1"/>
      <c r="Y264" s="1"/>
      <c r="Z264" s="1"/>
    </row>
    <row r="265" spans="1:26" ht="14.25" customHeight="1" x14ac:dyDescent="0.2">
      <c r="A265" s="69"/>
      <c r="B265" s="17">
        <v>255</v>
      </c>
      <c r="C265" s="6" t="s">
        <v>1455</v>
      </c>
      <c r="D265" s="6" t="s">
        <v>706</v>
      </c>
      <c r="E265" s="15" t="s">
        <v>707</v>
      </c>
      <c r="F265" s="15" t="s">
        <v>706</v>
      </c>
      <c r="G265" s="16" t="s">
        <v>589</v>
      </c>
      <c r="H265" s="16" t="s">
        <v>51</v>
      </c>
      <c r="I265" s="15" t="s">
        <v>51</v>
      </c>
      <c r="J265" s="15"/>
      <c r="K265" s="1"/>
      <c r="L265" s="1"/>
      <c r="M265" s="1"/>
      <c r="N265" s="1"/>
      <c r="O265" s="1"/>
      <c r="P265" s="1"/>
      <c r="Q265" s="1"/>
      <c r="R265" s="1"/>
      <c r="S265" s="1"/>
      <c r="T265" s="1"/>
      <c r="U265" s="1"/>
      <c r="V265" s="1"/>
      <c r="W265" s="1"/>
      <c r="X265" s="1"/>
      <c r="Y265" s="1"/>
      <c r="Z265" s="1"/>
    </row>
    <row r="266" spans="1:26" ht="160" x14ac:dyDescent="0.2">
      <c r="A266" s="69"/>
      <c r="B266" s="17">
        <v>256</v>
      </c>
      <c r="C266" s="6" t="s">
        <v>1455</v>
      </c>
      <c r="D266" s="18" t="s">
        <v>708</v>
      </c>
      <c r="E266" s="15" t="s">
        <v>709</v>
      </c>
      <c r="F266" s="15" t="s">
        <v>710</v>
      </c>
      <c r="G266" s="16" t="s">
        <v>65</v>
      </c>
      <c r="H266" s="16" t="s">
        <v>51</v>
      </c>
      <c r="I266" s="15" t="s">
        <v>51</v>
      </c>
      <c r="J266" s="15"/>
      <c r="K266" s="1"/>
      <c r="L266" s="1"/>
      <c r="M266" s="1"/>
      <c r="N266" s="1"/>
      <c r="O266" s="1"/>
      <c r="P266" s="1"/>
      <c r="Q266" s="1"/>
      <c r="R266" s="1"/>
      <c r="S266" s="1"/>
      <c r="T266" s="1"/>
      <c r="U266" s="1"/>
      <c r="V266" s="1"/>
      <c r="W266" s="1"/>
      <c r="X266" s="1"/>
      <c r="Y266" s="1"/>
      <c r="Z266" s="1"/>
    </row>
    <row r="267" spans="1:26" ht="14.25" hidden="1" customHeight="1" x14ac:dyDescent="0.2">
      <c r="A267" s="69"/>
      <c r="B267" s="17">
        <v>257</v>
      </c>
      <c r="C267" s="6" t="s">
        <v>1455</v>
      </c>
      <c r="D267" s="6" t="s">
        <v>711</v>
      </c>
      <c r="E267" s="15" t="s">
        <v>712</v>
      </c>
      <c r="F267" s="15" t="s">
        <v>711</v>
      </c>
      <c r="G267" s="16" t="s">
        <v>589</v>
      </c>
      <c r="H267" s="16" t="s">
        <v>51</v>
      </c>
      <c r="I267" s="15" t="s">
        <v>51</v>
      </c>
      <c r="J267" s="15" t="s">
        <v>602</v>
      </c>
      <c r="K267" s="1"/>
      <c r="L267" s="1"/>
      <c r="M267" s="1"/>
      <c r="N267" s="1"/>
      <c r="O267" s="1"/>
      <c r="P267" s="1"/>
      <c r="Q267" s="1"/>
      <c r="R267" s="1"/>
      <c r="S267" s="1"/>
      <c r="T267" s="1"/>
      <c r="U267" s="1"/>
      <c r="V267" s="1"/>
      <c r="W267" s="1"/>
      <c r="X267" s="1"/>
      <c r="Y267" s="1"/>
      <c r="Z267" s="1"/>
    </row>
    <row r="268" spans="1:26" ht="14.25" hidden="1" customHeight="1" x14ac:dyDescent="0.2">
      <c r="A268" s="69"/>
      <c r="B268" s="17">
        <v>258</v>
      </c>
      <c r="C268" s="6" t="s">
        <v>1455</v>
      </c>
      <c r="D268" s="6" t="s">
        <v>713</v>
      </c>
      <c r="E268" s="15" t="s">
        <v>714</v>
      </c>
      <c r="F268" s="15" t="s">
        <v>713</v>
      </c>
      <c r="G268" s="16" t="s">
        <v>65</v>
      </c>
      <c r="H268" s="16" t="s">
        <v>37</v>
      </c>
      <c r="I268" s="15" t="s">
        <v>51</v>
      </c>
      <c r="J268" s="15"/>
      <c r="K268" s="1"/>
      <c r="L268" s="1"/>
      <c r="M268" s="1"/>
      <c r="N268" s="1"/>
      <c r="O268" s="1"/>
      <c r="P268" s="1"/>
      <c r="Q268" s="1"/>
      <c r="R268" s="1"/>
      <c r="S268" s="1"/>
      <c r="T268" s="1"/>
      <c r="U268" s="1"/>
      <c r="V268" s="1"/>
      <c r="W268" s="1"/>
      <c r="X268" s="1"/>
      <c r="Y268" s="1"/>
      <c r="Z268" s="1"/>
    </row>
    <row r="269" spans="1:26" ht="14.25" hidden="1" customHeight="1" x14ac:dyDescent="0.2">
      <c r="A269" s="69"/>
      <c r="B269" s="17">
        <v>259</v>
      </c>
      <c r="C269" s="6" t="s">
        <v>1455</v>
      </c>
      <c r="D269" s="6" t="s">
        <v>715</v>
      </c>
      <c r="E269" s="15" t="s">
        <v>716</v>
      </c>
      <c r="F269" s="15" t="s">
        <v>717</v>
      </c>
      <c r="G269" s="16" t="s">
        <v>589</v>
      </c>
      <c r="H269" s="16" t="s">
        <v>51</v>
      </c>
      <c r="I269" s="15" t="s">
        <v>51</v>
      </c>
      <c r="J269" s="15" t="s">
        <v>602</v>
      </c>
      <c r="K269" s="1"/>
      <c r="L269" s="1"/>
      <c r="M269" s="1"/>
      <c r="N269" s="1"/>
      <c r="O269" s="1"/>
      <c r="P269" s="1"/>
      <c r="Q269" s="1"/>
      <c r="R269" s="1"/>
      <c r="S269" s="1"/>
      <c r="T269" s="1"/>
      <c r="U269" s="1"/>
      <c r="V269" s="1"/>
      <c r="W269" s="1"/>
      <c r="X269" s="1"/>
      <c r="Y269" s="1"/>
      <c r="Z269" s="1"/>
    </row>
    <row r="270" spans="1:26" ht="14.25" hidden="1" customHeight="1" x14ac:dyDescent="0.2">
      <c r="A270" s="69"/>
      <c r="B270" s="17">
        <v>260</v>
      </c>
      <c r="C270" s="6" t="s">
        <v>1455</v>
      </c>
      <c r="D270" s="6" t="s">
        <v>718</v>
      </c>
      <c r="E270" s="15" t="s">
        <v>719</v>
      </c>
      <c r="F270" s="15" t="s">
        <v>718</v>
      </c>
      <c r="G270" s="16" t="s">
        <v>65</v>
      </c>
      <c r="H270" s="16" t="s">
        <v>37</v>
      </c>
      <c r="I270" s="15" t="s">
        <v>51</v>
      </c>
      <c r="J270" s="15"/>
      <c r="K270" s="1"/>
      <c r="L270" s="1"/>
      <c r="M270" s="1"/>
      <c r="N270" s="1"/>
      <c r="O270" s="1"/>
      <c r="P270" s="1"/>
      <c r="Q270" s="1"/>
      <c r="R270" s="1"/>
      <c r="S270" s="1"/>
      <c r="T270" s="1"/>
      <c r="U270" s="1"/>
      <c r="V270" s="1"/>
      <c r="W270" s="1"/>
      <c r="X270" s="1"/>
      <c r="Y270" s="1"/>
      <c r="Z270" s="1"/>
    </row>
    <row r="271" spans="1:26" ht="14.25" hidden="1" customHeight="1" x14ac:dyDescent="0.2">
      <c r="A271" s="69"/>
      <c r="B271" s="17">
        <v>261</v>
      </c>
      <c r="C271" s="6" t="s">
        <v>1455</v>
      </c>
      <c r="D271" s="6" t="s">
        <v>720</v>
      </c>
      <c r="E271" s="15" t="s">
        <v>721</v>
      </c>
      <c r="F271" s="15" t="s">
        <v>720</v>
      </c>
      <c r="G271" s="16" t="s">
        <v>65</v>
      </c>
      <c r="H271" s="16" t="s">
        <v>37</v>
      </c>
      <c r="I271" s="15" t="s">
        <v>51</v>
      </c>
      <c r="J271" s="15"/>
      <c r="K271" s="1"/>
      <c r="L271" s="1"/>
      <c r="M271" s="1"/>
      <c r="N271" s="1"/>
      <c r="O271" s="1"/>
      <c r="P271" s="1"/>
      <c r="Q271" s="1"/>
      <c r="R271" s="1"/>
      <c r="S271" s="1"/>
      <c r="T271" s="1"/>
      <c r="U271" s="1"/>
      <c r="V271" s="1"/>
      <c r="W271" s="1"/>
      <c r="X271" s="1"/>
      <c r="Y271" s="1"/>
      <c r="Z271" s="1"/>
    </row>
    <row r="272" spans="1:26" ht="16" hidden="1" x14ac:dyDescent="0.2">
      <c r="A272" s="69"/>
      <c r="B272" s="17">
        <v>262</v>
      </c>
      <c r="C272" s="6" t="s">
        <v>1455</v>
      </c>
      <c r="D272" s="18" t="s">
        <v>722</v>
      </c>
      <c r="E272" s="15" t="s">
        <v>723</v>
      </c>
      <c r="F272" s="15" t="s">
        <v>724</v>
      </c>
      <c r="G272" s="16" t="s">
        <v>589</v>
      </c>
      <c r="H272" s="16" t="s">
        <v>37</v>
      </c>
      <c r="I272" s="15" t="s">
        <v>51</v>
      </c>
      <c r="J272" s="15"/>
      <c r="K272" s="1"/>
      <c r="L272" s="1"/>
      <c r="M272" s="1"/>
      <c r="N272" s="1"/>
      <c r="O272" s="1"/>
      <c r="P272" s="1"/>
      <c r="Q272" s="1"/>
      <c r="R272" s="1"/>
      <c r="S272" s="1"/>
      <c r="T272" s="1"/>
      <c r="U272" s="1"/>
      <c r="V272" s="1"/>
      <c r="W272" s="1"/>
      <c r="X272" s="1"/>
      <c r="Y272" s="1"/>
      <c r="Z272" s="1"/>
    </row>
    <row r="273" spans="1:26" ht="32" hidden="1" x14ac:dyDescent="0.2">
      <c r="A273" s="69"/>
      <c r="B273" s="17">
        <v>263</v>
      </c>
      <c r="C273" s="6" t="s">
        <v>1455</v>
      </c>
      <c r="D273" s="18" t="s">
        <v>725</v>
      </c>
      <c r="E273" s="15" t="s">
        <v>726</v>
      </c>
      <c r="F273" s="15" t="s">
        <v>727</v>
      </c>
      <c r="G273" s="16" t="s">
        <v>65</v>
      </c>
      <c r="H273" s="16" t="s">
        <v>37</v>
      </c>
      <c r="I273" s="15" t="s">
        <v>51</v>
      </c>
      <c r="J273" s="15"/>
      <c r="K273" s="1"/>
      <c r="L273" s="1"/>
      <c r="M273" s="1"/>
      <c r="N273" s="1"/>
      <c r="O273" s="1"/>
      <c r="P273" s="1"/>
      <c r="Q273" s="1"/>
      <c r="R273" s="1"/>
      <c r="S273" s="1"/>
      <c r="T273" s="1"/>
      <c r="U273" s="1"/>
      <c r="V273" s="1"/>
      <c r="W273" s="1"/>
      <c r="X273" s="1"/>
      <c r="Y273" s="1"/>
      <c r="Z273" s="1"/>
    </row>
    <row r="274" spans="1:26" ht="14.25" hidden="1" customHeight="1" x14ac:dyDescent="0.2">
      <c r="A274" s="69"/>
      <c r="B274" s="17">
        <v>264</v>
      </c>
      <c r="C274" s="6" t="s">
        <v>1455</v>
      </c>
      <c r="D274" s="6" t="s">
        <v>728</v>
      </c>
      <c r="E274" s="15" t="s">
        <v>729</v>
      </c>
      <c r="F274" s="15" t="s">
        <v>728</v>
      </c>
      <c r="G274" s="16" t="s">
        <v>65</v>
      </c>
      <c r="H274" s="16" t="s">
        <v>37</v>
      </c>
      <c r="I274" s="15" t="s">
        <v>51</v>
      </c>
      <c r="J274" s="15"/>
      <c r="K274" s="1"/>
      <c r="L274" s="1"/>
      <c r="M274" s="1"/>
      <c r="N274" s="1"/>
      <c r="O274" s="1"/>
      <c r="P274" s="1"/>
      <c r="Q274" s="1"/>
      <c r="R274" s="1"/>
      <c r="S274" s="1"/>
      <c r="T274" s="1"/>
      <c r="U274" s="1"/>
      <c r="V274" s="1"/>
      <c r="W274" s="1"/>
      <c r="X274" s="1"/>
      <c r="Y274" s="1"/>
      <c r="Z274" s="1"/>
    </row>
    <row r="275" spans="1:26" ht="14.25" hidden="1" customHeight="1" x14ac:dyDescent="0.2">
      <c r="A275" s="69"/>
      <c r="B275" s="17">
        <v>265</v>
      </c>
      <c r="C275" s="6" t="s">
        <v>1455</v>
      </c>
      <c r="D275" s="6" t="s">
        <v>730</v>
      </c>
      <c r="E275" s="15" t="s">
        <v>731</v>
      </c>
      <c r="F275" s="15" t="s">
        <v>730</v>
      </c>
      <c r="G275" s="16" t="s">
        <v>65</v>
      </c>
      <c r="H275" s="16" t="s">
        <v>37</v>
      </c>
      <c r="I275" s="15" t="s">
        <v>51</v>
      </c>
      <c r="J275" s="15" t="s">
        <v>66</v>
      </c>
      <c r="K275" s="1"/>
      <c r="L275" s="1"/>
      <c r="M275" s="1"/>
      <c r="N275" s="1"/>
      <c r="O275" s="1"/>
      <c r="P275" s="1"/>
      <c r="Q275" s="1"/>
      <c r="R275" s="1"/>
      <c r="S275" s="1"/>
      <c r="T275" s="1"/>
      <c r="U275" s="1"/>
      <c r="V275" s="1"/>
      <c r="W275" s="1"/>
      <c r="X275" s="1"/>
      <c r="Y275" s="1"/>
      <c r="Z275" s="1"/>
    </row>
    <row r="276" spans="1:26" ht="14.25" hidden="1" customHeight="1" x14ac:dyDescent="0.2">
      <c r="A276" s="69"/>
      <c r="B276" s="17">
        <v>266</v>
      </c>
      <c r="C276" s="6" t="s">
        <v>1455</v>
      </c>
      <c r="D276" s="6" t="s">
        <v>732</v>
      </c>
      <c r="E276" s="15" t="s">
        <v>733</v>
      </c>
      <c r="F276" s="15" t="s">
        <v>734</v>
      </c>
      <c r="G276" s="16" t="s">
        <v>65</v>
      </c>
      <c r="H276" s="16" t="s">
        <v>37</v>
      </c>
      <c r="I276" s="15" t="s">
        <v>51</v>
      </c>
      <c r="J276" s="15"/>
      <c r="K276" s="1"/>
      <c r="L276" s="1"/>
      <c r="M276" s="1"/>
      <c r="N276" s="1"/>
      <c r="O276" s="1"/>
      <c r="P276" s="1"/>
      <c r="Q276" s="1"/>
      <c r="R276" s="1"/>
      <c r="S276" s="1"/>
      <c r="T276" s="1"/>
      <c r="U276" s="1"/>
      <c r="V276" s="1"/>
      <c r="W276" s="1"/>
      <c r="X276" s="1"/>
      <c r="Y276" s="1"/>
      <c r="Z276" s="1"/>
    </row>
    <row r="277" spans="1:26" ht="14.25" hidden="1" customHeight="1" x14ac:dyDescent="0.2">
      <c r="A277" s="69"/>
      <c r="B277" s="17">
        <v>267</v>
      </c>
      <c r="C277" s="6" t="s">
        <v>1455</v>
      </c>
      <c r="D277" s="6" t="s">
        <v>735</v>
      </c>
      <c r="E277" s="15" t="s">
        <v>736</v>
      </c>
      <c r="F277" s="15" t="s">
        <v>737</v>
      </c>
      <c r="G277" s="16" t="s">
        <v>65</v>
      </c>
      <c r="H277" s="16" t="s">
        <v>37</v>
      </c>
      <c r="I277" s="15" t="s">
        <v>51</v>
      </c>
      <c r="J277" s="15"/>
      <c r="K277" s="1"/>
      <c r="L277" s="1"/>
      <c r="M277" s="1"/>
      <c r="N277" s="1"/>
      <c r="O277" s="1"/>
      <c r="P277" s="1"/>
      <c r="Q277" s="1"/>
      <c r="R277" s="1"/>
      <c r="S277" s="1"/>
      <c r="T277" s="1"/>
      <c r="U277" s="1"/>
      <c r="V277" s="1"/>
      <c r="W277" s="1"/>
      <c r="X277" s="1"/>
      <c r="Y277" s="1"/>
      <c r="Z277" s="1"/>
    </row>
    <row r="278" spans="1:26" ht="112" x14ac:dyDescent="0.2">
      <c r="A278" s="69"/>
      <c r="B278" s="17">
        <v>268</v>
      </c>
      <c r="C278" s="6" t="s">
        <v>1455</v>
      </c>
      <c r="D278" s="18" t="s">
        <v>738</v>
      </c>
      <c r="E278" s="15" t="s">
        <v>739</v>
      </c>
      <c r="F278" s="15" t="s">
        <v>740</v>
      </c>
      <c r="G278" s="16" t="s">
        <v>589</v>
      </c>
      <c r="H278" s="16" t="s">
        <v>51</v>
      </c>
      <c r="I278" s="15" t="s">
        <v>51</v>
      </c>
      <c r="J278" s="15"/>
      <c r="K278" s="1"/>
      <c r="L278" s="1"/>
      <c r="M278" s="1"/>
      <c r="N278" s="1"/>
      <c r="O278" s="1"/>
      <c r="P278" s="1"/>
      <c r="Q278" s="1"/>
      <c r="R278" s="1"/>
      <c r="S278" s="1"/>
      <c r="T278" s="1"/>
      <c r="U278" s="1"/>
      <c r="V278" s="1"/>
      <c r="W278" s="1"/>
      <c r="X278" s="1"/>
      <c r="Y278" s="1"/>
      <c r="Z278" s="1"/>
    </row>
    <row r="279" spans="1:26" ht="14.25" customHeight="1" x14ac:dyDescent="0.2">
      <c r="A279" s="69"/>
      <c r="B279" s="17">
        <v>269</v>
      </c>
      <c r="C279" s="6" t="s">
        <v>1455</v>
      </c>
      <c r="D279" s="6" t="s">
        <v>741</v>
      </c>
      <c r="E279" s="15" t="s">
        <v>742</v>
      </c>
      <c r="F279" s="15" t="s">
        <v>743</v>
      </c>
      <c r="G279" s="16" t="s">
        <v>589</v>
      </c>
      <c r="H279" s="16" t="s">
        <v>51</v>
      </c>
      <c r="I279" s="15" t="s">
        <v>51</v>
      </c>
      <c r="J279" s="15"/>
      <c r="K279" s="1"/>
      <c r="L279" s="1"/>
      <c r="M279" s="1"/>
      <c r="N279" s="1"/>
      <c r="O279" s="1"/>
      <c r="P279" s="1"/>
      <c r="Q279" s="1"/>
      <c r="R279" s="1"/>
      <c r="S279" s="1"/>
      <c r="T279" s="1"/>
      <c r="U279" s="1"/>
      <c r="V279" s="1"/>
      <c r="W279" s="1"/>
      <c r="X279" s="1"/>
      <c r="Y279" s="1"/>
      <c r="Z279" s="1"/>
    </row>
    <row r="280" spans="1:26" ht="14.25" hidden="1" customHeight="1" x14ac:dyDescent="0.2">
      <c r="A280" s="69"/>
      <c r="B280" s="17">
        <v>270</v>
      </c>
      <c r="C280" s="6" t="s">
        <v>1455</v>
      </c>
      <c r="D280" s="6" t="s">
        <v>744</v>
      </c>
      <c r="E280" s="15" t="s">
        <v>745</v>
      </c>
      <c r="F280" s="15" t="s">
        <v>744</v>
      </c>
      <c r="G280" s="16" t="s">
        <v>65</v>
      </c>
      <c r="H280" s="16" t="s">
        <v>37</v>
      </c>
      <c r="I280" s="15" t="s">
        <v>51</v>
      </c>
      <c r="J280" s="15"/>
      <c r="K280" s="1"/>
      <c r="L280" s="1"/>
      <c r="M280" s="1"/>
      <c r="N280" s="1"/>
      <c r="O280" s="1"/>
      <c r="P280" s="1"/>
      <c r="Q280" s="1"/>
      <c r="R280" s="1"/>
      <c r="S280" s="1"/>
      <c r="T280" s="1"/>
      <c r="U280" s="1"/>
      <c r="V280" s="1"/>
      <c r="W280" s="1"/>
      <c r="X280" s="1"/>
      <c r="Y280" s="1"/>
      <c r="Z280" s="1"/>
    </row>
    <row r="281" spans="1:26" ht="14.25" hidden="1" customHeight="1" x14ac:dyDescent="0.2">
      <c r="A281" s="69"/>
      <c r="B281" s="17">
        <v>271</v>
      </c>
      <c r="C281" s="6" t="s">
        <v>1455</v>
      </c>
      <c r="D281" s="6" t="s">
        <v>746</v>
      </c>
      <c r="E281" s="15" t="s">
        <v>747</v>
      </c>
      <c r="F281" s="15" t="s">
        <v>746</v>
      </c>
      <c r="G281" s="16" t="s">
        <v>589</v>
      </c>
      <c r="H281" s="16" t="s">
        <v>37</v>
      </c>
      <c r="I281" s="15" t="s">
        <v>51</v>
      </c>
      <c r="J281" s="15"/>
      <c r="K281" s="1"/>
      <c r="L281" s="1"/>
      <c r="M281" s="1"/>
      <c r="N281" s="1"/>
      <c r="O281" s="1"/>
      <c r="P281" s="1"/>
      <c r="Q281" s="1"/>
      <c r="R281" s="1"/>
      <c r="S281" s="1"/>
      <c r="T281" s="1"/>
      <c r="U281" s="1"/>
      <c r="V281" s="1"/>
      <c r="W281" s="1"/>
      <c r="X281" s="1"/>
      <c r="Y281" s="1"/>
      <c r="Z281" s="1"/>
    </row>
    <row r="282" spans="1:26" ht="14.25" customHeight="1" x14ac:dyDescent="0.2">
      <c r="A282" s="69"/>
      <c r="B282" s="17">
        <v>272</v>
      </c>
      <c r="C282" s="6" t="s">
        <v>1455</v>
      </c>
      <c r="D282" s="6" t="s">
        <v>748</v>
      </c>
      <c r="E282" s="15" t="s">
        <v>749</v>
      </c>
      <c r="F282" s="15" t="s">
        <v>750</v>
      </c>
      <c r="G282" s="16" t="s">
        <v>589</v>
      </c>
      <c r="H282" s="16" t="s">
        <v>51</v>
      </c>
      <c r="I282" s="15" t="s">
        <v>51</v>
      </c>
      <c r="J282" s="15"/>
      <c r="K282" s="1"/>
      <c r="L282" s="1"/>
      <c r="M282" s="1"/>
      <c r="N282" s="1"/>
      <c r="O282" s="1"/>
      <c r="P282" s="1"/>
      <c r="Q282" s="1"/>
      <c r="R282" s="1"/>
      <c r="S282" s="1"/>
      <c r="T282" s="1"/>
      <c r="U282" s="1"/>
      <c r="V282" s="1"/>
      <c r="W282" s="1"/>
      <c r="X282" s="1"/>
      <c r="Y282" s="1"/>
      <c r="Z282" s="1"/>
    </row>
    <row r="283" spans="1:26" ht="14.25" hidden="1" customHeight="1" x14ac:dyDescent="0.2">
      <c r="A283" s="69"/>
      <c r="B283" s="17">
        <v>273</v>
      </c>
      <c r="C283" s="6" t="s">
        <v>1455</v>
      </c>
      <c r="D283" s="6" t="s">
        <v>751</v>
      </c>
      <c r="E283" s="15" t="s">
        <v>752</v>
      </c>
      <c r="F283" s="15" t="s">
        <v>751</v>
      </c>
      <c r="G283" s="16" t="s">
        <v>65</v>
      </c>
      <c r="H283" s="16" t="s">
        <v>37</v>
      </c>
      <c r="I283" s="15" t="s">
        <v>51</v>
      </c>
      <c r="J283" s="15"/>
      <c r="K283" s="1"/>
      <c r="L283" s="1"/>
      <c r="M283" s="1"/>
      <c r="N283" s="1"/>
      <c r="O283" s="1"/>
      <c r="P283" s="1"/>
      <c r="Q283" s="1"/>
      <c r="R283" s="1"/>
      <c r="S283" s="1"/>
      <c r="T283" s="1"/>
      <c r="U283" s="1"/>
      <c r="V283" s="1"/>
      <c r="W283" s="1"/>
      <c r="X283" s="1"/>
      <c r="Y283" s="1"/>
      <c r="Z283" s="1"/>
    </row>
    <row r="284" spans="1:26" ht="14.25" hidden="1" customHeight="1" x14ac:dyDescent="0.2">
      <c r="A284" s="69"/>
      <c r="B284" s="17">
        <v>274</v>
      </c>
      <c r="C284" s="6" t="s">
        <v>1455</v>
      </c>
      <c r="D284" s="6" t="s">
        <v>753</v>
      </c>
      <c r="E284" s="15" t="s">
        <v>754</v>
      </c>
      <c r="F284" s="15" t="s">
        <v>753</v>
      </c>
      <c r="G284" s="16" t="s">
        <v>65</v>
      </c>
      <c r="H284" s="16" t="s">
        <v>37</v>
      </c>
      <c r="I284" s="15" t="s">
        <v>51</v>
      </c>
      <c r="J284" s="15"/>
      <c r="K284" s="1"/>
      <c r="L284" s="1"/>
      <c r="M284" s="1"/>
      <c r="N284" s="1"/>
      <c r="O284" s="1"/>
      <c r="P284" s="1"/>
      <c r="Q284" s="1"/>
      <c r="R284" s="1"/>
      <c r="S284" s="1"/>
      <c r="T284" s="1"/>
      <c r="U284" s="1"/>
      <c r="V284" s="1"/>
      <c r="W284" s="1"/>
      <c r="X284" s="1"/>
      <c r="Y284" s="1"/>
      <c r="Z284" s="1"/>
    </row>
    <row r="285" spans="1:26" ht="14.25" hidden="1" customHeight="1" x14ac:dyDescent="0.2">
      <c r="A285" s="69"/>
      <c r="B285" s="17">
        <v>275</v>
      </c>
      <c r="C285" s="6" t="s">
        <v>1455</v>
      </c>
      <c r="D285" s="6" t="s">
        <v>755</v>
      </c>
      <c r="E285" s="15" t="s">
        <v>756</v>
      </c>
      <c r="F285" s="15" t="s">
        <v>755</v>
      </c>
      <c r="G285" s="16" t="s">
        <v>65</v>
      </c>
      <c r="H285" s="16" t="s">
        <v>37</v>
      </c>
      <c r="I285" s="15" t="s">
        <v>51</v>
      </c>
      <c r="J285" s="15"/>
      <c r="K285" s="1"/>
      <c r="L285" s="1"/>
      <c r="M285" s="1"/>
      <c r="N285" s="1"/>
      <c r="O285" s="1"/>
      <c r="P285" s="1"/>
      <c r="Q285" s="1"/>
      <c r="R285" s="1"/>
      <c r="S285" s="1"/>
      <c r="T285" s="1"/>
      <c r="U285" s="1"/>
      <c r="V285" s="1"/>
      <c r="W285" s="1"/>
      <c r="X285" s="1"/>
      <c r="Y285" s="1"/>
      <c r="Z285" s="1"/>
    </row>
    <row r="286" spans="1:26" ht="96" x14ac:dyDescent="0.2">
      <c r="A286" s="69"/>
      <c r="B286" s="17">
        <v>276</v>
      </c>
      <c r="C286" s="6" t="s">
        <v>1455</v>
      </c>
      <c r="D286" s="18" t="s">
        <v>757</v>
      </c>
      <c r="E286" s="15" t="s">
        <v>758</v>
      </c>
      <c r="F286" s="15" t="s">
        <v>759</v>
      </c>
      <c r="G286" s="16" t="s">
        <v>589</v>
      </c>
      <c r="H286" s="16" t="s">
        <v>51</v>
      </c>
      <c r="I286" s="15" t="s">
        <v>51</v>
      </c>
      <c r="J286" s="15"/>
      <c r="K286" s="1"/>
      <c r="L286" s="1"/>
      <c r="M286" s="1"/>
      <c r="N286" s="1"/>
      <c r="O286" s="1"/>
      <c r="P286" s="1"/>
      <c r="Q286" s="1"/>
      <c r="R286" s="1"/>
      <c r="S286" s="1"/>
      <c r="T286" s="1"/>
      <c r="U286" s="1"/>
      <c r="V286" s="1"/>
      <c r="W286" s="1"/>
      <c r="X286" s="1"/>
      <c r="Y286" s="1"/>
      <c r="Z286" s="1"/>
    </row>
    <row r="287" spans="1:26" ht="14.25" customHeight="1" x14ac:dyDescent="0.2">
      <c r="A287" s="69"/>
      <c r="B287" s="17">
        <v>277</v>
      </c>
      <c r="C287" s="6" t="s">
        <v>1455</v>
      </c>
      <c r="D287" s="6" t="s">
        <v>760</v>
      </c>
      <c r="E287" s="15" t="s">
        <v>761</v>
      </c>
      <c r="F287" s="15" t="s">
        <v>760</v>
      </c>
      <c r="G287" s="16" t="s">
        <v>589</v>
      </c>
      <c r="H287" s="16" t="s">
        <v>51</v>
      </c>
      <c r="I287" s="15" t="s">
        <v>51</v>
      </c>
      <c r="J287" s="15"/>
      <c r="K287" s="1"/>
      <c r="L287" s="1"/>
      <c r="M287" s="1"/>
      <c r="N287" s="1"/>
      <c r="O287" s="1"/>
      <c r="P287" s="1"/>
      <c r="Q287" s="1"/>
      <c r="R287" s="1"/>
      <c r="S287" s="1"/>
      <c r="T287" s="1"/>
      <c r="U287" s="1"/>
      <c r="V287" s="1"/>
      <c r="W287" s="1"/>
      <c r="X287" s="1"/>
      <c r="Y287" s="1"/>
      <c r="Z287" s="1"/>
    </row>
    <row r="288" spans="1:26" ht="14.25" hidden="1" customHeight="1" x14ac:dyDescent="0.2">
      <c r="A288" s="69"/>
      <c r="B288" s="17">
        <v>278</v>
      </c>
      <c r="C288" s="6" t="s">
        <v>1455</v>
      </c>
      <c r="D288" s="6" t="s">
        <v>762</v>
      </c>
      <c r="E288" s="15" t="s">
        <v>763</v>
      </c>
      <c r="F288" s="15" t="s">
        <v>764</v>
      </c>
      <c r="G288" s="16" t="s">
        <v>65</v>
      </c>
      <c r="H288" s="16" t="s">
        <v>37</v>
      </c>
      <c r="I288" s="15" t="s">
        <v>51</v>
      </c>
      <c r="J288" s="15" t="s">
        <v>66</v>
      </c>
      <c r="K288" s="1"/>
      <c r="L288" s="1"/>
      <c r="M288" s="1"/>
      <c r="N288" s="1"/>
      <c r="O288" s="1"/>
      <c r="P288" s="1"/>
      <c r="Q288" s="1"/>
      <c r="R288" s="1"/>
      <c r="S288" s="1"/>
      <c r="T288" s="1"/>
      <c r="U288" s="1"/>
      <c r="V288" s="1"/>
      <c r="W288" s="1"/>
      <c r="X288" s="1"/>
      <c r="Y288" s="1"/>
      <c r="Z288" s="1"/>
    </row>
    <row r="289" spans="1:26" ht="32" hidden="1" x14ac:dyDescent="0.2">
      <c r="A289" s="69"/>
      <c r="B289" s="17">
        <v>279</v>
      </c>
      <c r="C289" s="6" t="s">
        <v>1455</v>
      </c>
      <c r="D289" s="18" t="s">
        <v>765</v>
      </c>
      <c r="E289" s="15" t="s">
        <v>766</v>
      </c>
      <c r="F289" s="15" t="s">
        <v>767</v>
      </c>
      <c r="G289" s="16" t="s">
        <v>65</v>
      </c>
      <c r="H289" s="16" t="s">
        <v>37</v>
      </c>
      <c r="I289" s="15" t="s">
        <v>51</v>
      </c>
      <c r="J289" s="15"/>
      <c r="K289" s="1"/>
      <c r="L289" s="1"/>
      <c r="M289" s="1"/>
      <c r="N289" s="1"/>
      <c r="O289" s="1"/>
      <c r="P289" s="1"/>
      <c r="Q289" s="1"/>
      <c r="R289" s="1"/>
      <c r="S289" s="1"/>
      <c r="T289" s="1"/>
      <c r="U289" s="1"/>
      <c r="V289" s="1"/>
      <c r="W289" s="1"/>
      <c r="X289" s="1"/>
      <c r="Y289" s="1"/>
      <c r="Z289" s="1"/>
    </row>
    <row r="290" spans="1:26" ht="14.25" hidden="1" customHeight="1" x14ac:dyDescent="0.2">
      <c r="A290" s="69"/>
      <c r="B290" s="17">
        <v>280</v>
      </c>
      <c r="C290" s="6" t="s">
        <v>1455</v>
      </c>
      <c r="D290" s="6" t="s">
        <v>768</v>
      </c>
      <c r="E290" s="15" t="s">
        <v>769</v>
      </c>
      <c r="F290" s="15" t="s">
        <v>768</v>
      </c>
      <c r="G290" s="16" t="s">
        <v>65</v>
      </c>
      <c r="H290" s="16" t="s">
        <v>37</v>
      </c>
      <c r="I290" s="15" t="s">
        <v>51</v>
      </c>
      <c r="J290" s="15"/>
      <c r="K290" s="1"/>
      <c r="L290" s="1"/>
      <c r="M290" s="1"/>
      <c r="N290" s="1"/>
      <c r="O290" s="1"/>
      <c r="P290" s="1"/>
      <c r="Q290" s="1"/>
      <c r="R290" s="1"/>
      <c r="S290" s="1"/>
      <c r="T290" s="1"/>
      <c r="U290" s="1"/>
      <c r="V290" s="1"/>
      <c r="W290" s="1"/>
      <c r="X290" s="1"/>
      <c r="Y290" s="1"/>
      <c r="Z290" s="1"/>
    </row>
    <row r="291" spans="1:26" ht="14.25" customHeight="1" x14ac:dyDescent="0.2">
      <c r="A291" s="69"/>
      <c r="B291" s="17">
        <v>281</v>
      </c>
      <c r="C291" s="6" t="s">
        <v>1455</v>
      </c>
      <c r="D291" s="6" t="s">
        <v>770</v>
      </c>
      <c r="E291" s="15" t="s">
        <v>771</v>
      </c>
      <c r="F291" s="15" t="s">
        <v>772</v>
      </c>
      <c r="G291" s="16" t="s">
        <v>589</v>
      </c>
      <c r="H291" s="16" t="s">
        <v>51</v>
      </c>
      <c r="I291" s="15" t="s">
        <v>51</v>
      </c>
      <c r="J291" s="15"/>
      <c r="K291" s="1"/>
      <c r="L291" s="1"/>
      <c r="M291" s="1"/>
      <c r="N291" s="1"/>
      <c r="O291" s="1"/>
      <c r="P291" s="1"/>
      <c r="Q291" s="1"/>
      <c r="R291" s="1"/>
      <c r="S291" s="1"/>
      <c r="T291" s="1"/>
      <c r="U291" s="1"/>
      <c r="V291" s="1"/>
      <c r="W291" s="1"/>
      <c r="X291" s="1"/>
      <c r="Y291" s="1"/>
      <c r="Z291" s="1"/>
    </row>
    <row r="292" spans="1:26" ht="14.25" hidden="1" customHeight="1" x14ac:dyDescent="0.2">
      <c r="A292" s="69"/>
      <c r="B292" s="17">
        <v>282</v>
      </c>
      <c r="C292" s="6" t="s">
        <v>1455</v>
      </c>
      <c r="D292" s="6" t="s">
        <v>773</v>
      </c>
      <c r="E292" s="15" t="s">
        <v>774</v>
      </c>
      <c r="F292" s="15" t="s">
        <v>773</v>
      </c>
      <c r="G292" s="16" t="s">
        <v>65</v>
      </c>
      <c r="H292" s="16" t="s">
        <v>37</v>
      </c>
      <c r="I292" s="15" t="s">
        <v>51</v>
      </c>
      <c r="J292" s="15"/>
      <c r="K292" s="1"/>
      <c r="L292" s="1"/>
      <c r="M292" s="1"/>
      <c r="N292" s="1"/>
      <c r="O292" s="1"/>
      <c r="P292" s="1"/>
      <c r="Q292" s="1"/>
      <c r="R292" s="1"/>
      <c r="S292" s="1"/>
      <c r="T292" s="1"/>
      <c r="U292" s="1"/>
      <c r="V292" s="1"/>
      <c r="W292" s="1"/>
      <c r="X292" s="1"/>
      <c r="Y292" s="1"/>
      <c r="Z292" s="1"/>
    </row>
    <row r="293" spans="1:26" ht="14.25" hidden="1" customHeight="1" x14ac:dyDescent="0.2">
      <c r="A293" s="69"/>
      <c r="B293" s="17">
        <v>283</v>
      </c>
      <c r="C293" s="6" t="s">
        <v>1455</v>
      </c>
      <c r="D293" s="6" t="s">
        <v>775</v>
      </c>
      <c r="E293" s="15" t="s">
        <v>776</v>
      </c>
      <c r="F293" s="15" t="s">
        <v>775</v>
      </c>
      <c r="G293" s="16" t="s">
        <v>65</v>
      </c>
      <c r="H293" s="16" t="s">
        <v>37</v>
      </c>
      <c r="I293" s="15" t="s">
        <v>51</v>
      </c>
      <c r="J293" s="15"/>
      <c r="K293" s="1"/>
      <c r="L293" s="1"/>
      <c r="M293" s="1"/>
      <c r="N293" s="1"/>
      <c r="O293" s="1"/>
      <c r="P293" s="1"/>
      <c r="Q293" s="1"/>
      <c r="R293" s="1"/>
      <c r="S293" s="1"/>
      <c r="T293" s="1"/>
      <c r="U293" s="1"/>
      <c r="V293" s="1"/>
      <c r="W293" s="1"/>
      <c r="X293" s="1"/>
      <c r="Y293" s="1"/>
      <c r="Z293" s="1"/>
    </row>
    <row r="294" spans="1:26" ht="14.25" hidden="1" customHeight="1" x14ac:dyDescent="0.2">
      <c r="A294" s="69"/>
      <c r="B294" s="17">
        <v>284</v>
      </c>
      <c r="C294" s="6" t="s">
        <v>1455</v>
      </c>
      <c r="D294" s="6" t="s">
        <v>777</v>
      </c>
      <c r="E294" s="15" t="s">
        <v>778</v>
      </c>
      <c r="F294" s="15" t="s">
        <v>779</v>
      </c>
      <c r="G294" s="16" t="s">
        <v>65</v>
      </c>
      <c r="H294" s="16" t="s">
        <v>37</v>
      </c>
      <c r="I294" s="15" t="s">
        <v>51</v>
      </c>
      <c r="J294" s="15"/>
      <c r="K294" s="1"/>
      <c r="L294" s="1"/>
      <c r="M294" s="1"/>
      <c r="N294" s="1"/>
      <c r="O294" s="1"/>
      <c r="P294" s="1"/>
      <c r="Q294" s="1"/>
      <c r="R294" s="1"/>
      <c r="S294" s="1"/>
      <c r="T294" s="1"/>
      <c r="U294" s="1"/>
      <c r="V294" s="1"/>
      <c r="W294" s="1"/>
      <c r="X294" s="1"/>
      <c r="Y294" s="1"/>
      <c r="Z294" s="1"/>
    </row>
    <row r="295" spans="1:26" ht="14.25" hidden="1" customHeight="1" x14ac:dyDescent="0.2">
      <c r="A295" s="69"/>
      <c r="B295" s="17">
        <v>285</v>
      </c>
      <c r="C295" s="6" t="s">
        <v>1455</v>
      </c>
      <c r="D295" s="6" t="s">
        <v>780</v>
      </c>
      <c r="E295" s="15" t="s">
        <v>781</v>
      </c>
      <c r="F295" s="15" t="s">
        <v>780</v>
      </c>
      <c r="G295" s="16" t="s">
        <v>65</v>
      </c>
      <c r="H295" s="16" t="s">
        <v>37</v>
      </c>
      <c r="I295" s="15" t="s">
        <v>51</v>
      </c>
      <c r="J295" s="15"/>
      <c r="K295" s="1"/>
      <c r="L295" s="1"/>
      <c r="M295" s="1"/>
      <c r="N295" s="1"/>
      <c r="O295" s="1"/>
      <c r="P295" s="1"/>
      <c r="Q295" s="1"/>
      <c r="R295" s="1"/>
      <c r="S295" s="1"/>
      <c r="T295" s="1"/>
      <c r="U295" s="1"/>
      <c r="V295" s="1"/>
      <c r="W295" s="1"/>
      <c r="X295" s="1"/>
      <c r="Y295" s="1"/>
      <c r="Z295" s="1"/>
    </row>
    <row r="296" spans="1:26" ht="14.25" hidden="1" customHeight="1" x14ac:dyDescent="0.2">
      <c r="A296" s="69"/>
      <c r="B296" s="17">
        <v>286</v>
      </c>
      <c r="C296" s="6" t="s">
        <v>1455</v>
      </c>
      <c r="D296" s="6" t="s">
        <v>782</v>
      </c>
      <c r="E296" s="15" t="s">
        <v>783</v>
      </c>
      <c r="F296" s="15" t="s">
        <v>782</v>
      </c>
      <c r="G296" s="16" t="s">
        <v>65</v>
      </c>
      <c r="H296" s="16" t="s">
        <v>37</v>
      </c>
      <c r="I296" s="15" t="s">
        <v>51</v>
      </c>
      <c r="J296" s="15"/>
      <c r="K296" s="1"/>
      <c r="L296" s="1"/>
      <c r="M296" s="1"/>
      <c r="N296" s="1"/>
      <c r="O296" s="1"/>
      <c r="P296" s="1"/>
      <c r="Q296" s="1"/>
      <c r="R296" s="1"/>
      <c r="S296" s="1"/>
      <c r="T296" s="1"/>
      <c r="U296" s="1"/>
      <c r="V296" s="1"/>
      <c r="W296" s="1"/>
      <c r="X296" s="1"/>
      <c r="Y296" s="1"/>
      <c r="Z296" s="1"/>
    </row>
    <row r="297" spans="1:26" ht="14.25" hidden="1" customHeight="1" x14ac:dyDescent="0.2">
      <c r="A297" s="69"/>
      <c r="B297" s="17">
        <v>287</v>
      </c>
      <c r="C297" s="6" t="s">
        <v>1455</v>
      </c>
      <c r="D297" s="6" t="s">
        <v>784</v>
      </c>
      <c r="E297" s="15" t="s">
        <v>785</v>
      </c>
      <c r="F297" s="15" t="s">
        <v>784</v>
      </c>
      <c r="G297" s="16" t="s">
        <v>65</v>
      </c>
      <c r="H297" s="16" t="s">
        <v>37</v>
      </c>
      <c r="I297" s="15" t="s">
        <v>51</v>
      </c>
      <c r="J297" s="15" t="s">
        <v>66</v>
      </c>
      <c r="K297" s="1"/>
      <c r="L297" s="1"/>
      <c r="M297" s="1"/>
      <c r="N297" s="1"/>
      <c r="O297" s="1"/>
      <c r="P297" s="1"/>
      <c r="Q297" s="1"/>
      <c r="R297" s="1"/>
      <c r="S297" s="1"/>
      <c r="T297" s="1"/>
      <c r="U297" s="1"/>
      <c r="V297" s="1"/>
      <c r="W297" s="1"/>
      <c r="X297" s="1"/>
      <c r="Y297" s="1"/>
      <c r="Z297" s="1"/>
    </row>
    <row r="298" spans="1:26" ht="14.25" customHeight="1" x14ac:dyDescent="0.2">
      <c r="A298" s="69"/>
      <c r="B298" s="17">
        <v>288</v>
      </c>
      <c r="C298" s="6" t="s">
        <v>1455</v>
      </c>
      <c r="D298" s="6" t="s">
        <v>786</v>
      </c>
      <c r="E298" s="15" t="s">
        <v>787</v>
      </c>
      <c r="F298" s="15" t="s">
        <v>788</v>
      </c>
      <c r="G298" s="16" t="s">
        <v>589</v>
      </c>
      <c r="H298" s="16" t="s">
        <v>51</v>
      </c>
      <c r="I298" s="15" t="s">
        <v>51</v>
      </c>
      <c r="J298" s="15"/>
      <c r="K298" s="1"/>
      <c r="L298" s="1"/>
      <c r="M298" s="1"/>
      <c r="N298" s="1"/>
      <c r="O298" s="1"/>
      <c r="P298" s="1"/>
      <c r="Q298" s="1"/>
      <c r="R298" s="1"/>
      <c r="S298" s="1"/>
      <c r="T298" s="1"/>
      <c r="U298" s="1"/>
      <c r="V298" s="1"/>
      <c r="W298" s="1"/>
      <c r="X298" s="1"/>
      <c r="Y298" s="1"/>
      <c r="Z298" s="1"/>
    </row>
    <row r="299" spans="1:26" ht="14.25" hidden="1" customHeight="1" x14ac:dyDescent="0.2">
      <c r="A299" s="69"/>
      <c r="B299" s="17">
        <v>289</v>
      </c>
      <c r="C299" s="6" t="s">
        <v>1455</v>
      </c>
      <c r="D299" s="6" t="s">
        <v>789</v>
      </c>
      <c r="E299" s="15" t="s">
        <v>790</v>
      </c>
      <c r="F299" s="15" t="s">
        <v>789</v>
      </c>
      <c r="G299" s="16" t="s">
        <v>65</v>
      </c>
      <c r="H299" s="16" t="s">
        <v>37</v>
      </c>
      <c r="I299" s="15" t="s">
        <v>51</v>
      </c>
      <c r="J299" s="15"/>
      <c r="K299" s="1"/>
      <c r="L299" s="1"/>
      <c r="M299" s="1"/>
      <c r="N299" s="1"/>
      <c r="O299" s="1"/>
      <c r="P299" s="1"/>
      <c r="Q299" s="1"/>
      <c r="R299" s="1"/>
      <c r="S299" s="1"/>
      <c r="T299" s="1"/>
      <c r="U299" s="1"/>
      <c r="V299" s="1"/>
      <c r="W299" s="1"/>
      <c r="X299" s="1"/>
      <c r="Y299" s="1"/>
      <c r="Z299" s="1"/>
    </row>
    <row r="300" spans="1:26" ht="14.25" hidden="1" customHeight="1" x14ac:dyDescent="0.2">
      <c r="A300" s="69"/>
      <c r="B300" s="17">
        <v>290</v>
      </c>
      <c r="C300" s="6" t="s">
        <v>1455</v>
      </c>
      <c r="D300" s="6" t="s">
        <v>791</v>
      </c>
      <c r="E300" s="15" t="s">
        <v>792</v>
      </c>
      <c r="F300" s="15" t="s">
        <v>791</v>
      </c>
      <c r="G300" s="16" t="s">
        <v>65</v>
      </c>
      <c r="H300" s="16" t="s">
        <v>37</v>
      </c>
      <c r="I300" s="15" t="s">
        <v>51</v>
      </c>
      <c r="J300" s="15"/>
      <c r="K300" s="1"/>
      <c r="L300" s="1"/>
      <c r="M300" s="1"/>
      <c r="N300" s="1"/>
      <c r="O300" s="1"/>
      <c r="P300" s="1"/>
      <c r="Q300" s="1"/>
      <c r="R300" s="1"/>
      <c r="S300" s="1"/>
      <c r="T300" s="1"/>
      <c r="U300" s="1"/>
      <c r="V300" s="1"/>
      <c r="W300" s="1"/>
      <c r="X300" s="1"/>
      <c r="Y300" s="1"/>
      <c r="Z300" s="1"/>
    </row>
    <row r="301" spans="1:26" ht="14.25" hidden="1" customHeight="1" x14ac:dyDescent="0.2">
      <c r="A301" s="69"/>
      <c r="B301" s="17">
        <v>291</v>
      </c>
      <c r="C301" s="6" t="s">
        <v>1455</v>
      </c>
      <c r="D301" s="6" t="s">
        <v>793</v>
      </c>
      <c r="E301" s="15" t="s">
        <v>794</v>
      </c>
      <c r="F301" s="15" t="s">
        <v>795</v>
      </c>
      <c r="G301" s="16" t="s">
        <v>65</v>
      </c>
      <c r="H301" s="16" t="s">
        <v>37</v>
      </c>
      <c r="I301" s="15" t="s">
        <v>51</v>
      </c>
      <c r="J301" s="15"/>
      <c r="K301" s="1"/>
      <c r="L301" s="1"/>
      <c r="M301" s="1"/>
      <c r="N301" s="1"/>
      <c r="O301" s="1"/>
      <c r="P301" s="1"/>
      <c r="Q301" s="1"/>
      <c r="R301" s="1"/>
      <c r="S301" s="1"/>
      <c r="T301" s="1"/>
      <c r="U301" s="1"/>
      <c r="V301" s="1"/>
      <c r="W301" s="1"/>
      <c r="X301" s="1"/>
      <c r="Y301" s="1"/>
      <c r="Z301" s="1"/>
    </row>
    <row r="302" spans="1:26" ht="14.25" hidden="1" customHeight="1" x14ac:dyDescent="0.2">
      <c r="A302" s="69"/>
      <c r="B302" s="17">
        <v>292</v>
      </c>
      <c r="C302" s="6" t="s">
        <v>1455</v>
      </c>
      <c r="D302" s="6" t="s">
        <v>796</v>
      </c>
      <c r="E302" s="15" t="s">
        <v>797</v>
      </c>
      <c r="F302" s="15" t="s">
        <v>796</v>
      </c>
      <c r="G302" s="16" t="s">
        <v>65</v>
      </c>
      <c r="H302" s="16" t="s">
        <v>37</v>
      </c>
      <c r="I302" s="15" t="s">
        <v>51</v>
      </c>
      <c r="J302" s="15" t="s">
        <v>66</v>
      </c>
      <c r="K302" s="1"/>
      <c r="L302" s="1"/>
      <c r="M302" s="1"/>
      <c r="N302" s="1"/>
      <c r="O302" s="1"/>
      <c r="P302" s="1"/>
      <c r="Q302" s="1"/>
      <c r="R302" s="1"/>
      <c r="S302" s="1"/>
      <c r="T302" s="1"/>
      <c r="U302" s="1"/>
      <c r="V302" s="1"/>
      <c r="W302" s="1"/>
      <c r="X302" s="1"/>
      <c r="Y302" s="1"/>
      <c r="Z302" s="1"/>
    </row>
    <row r="303" spans="1:26" ht="14.25" customHeight="1" x14ac:dyDescent="0.2">
      <c r="A303" s="69"/>
      <c r="B303" s="17">
        <v>293</v>
      </c>
      <c r="C303" s="6" t="s">
        <v>1455</v>
      </c>
      <c r="D303" s="18" t="s">
        <v>798</v>
      </c>
      <c r="E303" s="15" t="s">
        <v>799</v>
      </c>
      <c r="F303" s="15" t="s">
        <v>800</v>
      </c>
      <c r="G303" s="16" t="s">
        <v>589</v>
      </c>
      <c r="H303" s="16" t="s">
        <v>51</v>
      </c>
      <c r="I303" s="15" t="s">
        <v>51</v>
      </c>
      <c r="J303" s="15" t="s">
        <v>801</v>
      </c>
      <c r="K303" s="1"/>
      <c r="L303" s="1"/>
      <c r="M303" s="1"/>
      <c r="N303" s="1"/>
      <c r="O303" s="1"/>
      <c r="P303" s="1"/>
      <c r="Q303" s="1"/>
      <c r="R303" s="1"/>
      <c r="S303" s="1"/>
      <c r="T303" s="1"/>
      <c r="U303" s="1"/>
      <c r="V303" s="1"/>
      <c r="W303" s="1"/>
      <c r="X303" s="1"/>
      <c r="Y303" s="1"/>
      <c r="Z303" s="1"/>
    </row>
    <row r="304" spans="1:26" ht="14.25" hidden="1" customHeight="1" x14ac:dyDescent="0.2">
      <c r="A304" s="69"/>
      <c r="B304" s="17">
        <v>294</v>
      </c>
      <c r="C304" s="6" t="s">
        <v>1455</v>
      </c>
      <c r="D304" s="6" t="s">
        <v>802</v>
      </c>
      <c r="E304" s="15" t="s">
        <v>803</v>
      </c>
      <c r="F304" s="15" t="s">
        <v>802</v>
      </c>
      <c r="G304" s="16" t="s">
        <v>65</v>
      </c>
      <c r="H304" s="16" t="s">
        <v>37</v>
      </c>
      <c r="I304" s="15" t="s">
        <v>51</v>
      </c>
      <c r="J304" s="15" t="s">
        <v>66</v>
      </c>
      <c r="K304" s="1"/>
      <c r="L304" s="1"/>
      <c r="M304" s="1"/>
      <c r="N304" s="1"/>
      <c r="O304" s="1"/>
      <c r="P304" s="1"/>
      <c r="Q304" s="1"/>
      <c r="R304" s="1"/>
      <c r="S304" s="1"/>
      <c r="T304" s="1"/>
      <c r="U304" s="1"/>
      <c r="V304" s="1"/>
      <c r="W304" s="1"/>
      <c r="X304" s="1"/>
      <c r="Y304" s="1"/>
      <c r="Z304" s="1"/>
    </row>
    <row r="305" spans="1:26" ht="14.25" customHeight="1" x14ac:dyDescent="0.2">
      <c r="A305" s="69"/>
      <c r="B305" s="17">
        <v>295</v>
      </c>
      <c r="C305" s="6" t="s">
        <v>1455</v>
      </c>
      <c r="D305" s="6" t="s">
        <v>804</v>
      </c>
      <c r="E305" s="15" t="s">
        <v>805</v>
      </c>
      <c r="F305" s="15" t="s">
        <v>806</v>
      </c>
      <c r="G305" s="16" t="s">
        <v>589</v>
      </c>
      <c r="H305" s="16" t="s">
        <v>51</v>
      </c>
      <c r="I305" s="15" t="s">
        <v>51</v>
      </c>
      <c r="J305" s="15"/>
      <c r="K305" s="1"/>
      <c r="L305" s="1"/>
      <c r="M305" s="1"/>
      <c r="N305" s="1"/>
      <c r="O305" s="1"/>
      <c r="P305" s="1"/>
      <c r="Q305" s="1"/>
      <c r="R305" s="1"/>
      <c r="S305" s="1"/>
      <c r="T305" s="1"/>
      <c r="U305" s="1"/>
      <c r="V305" s="1"/>
      <c r="W305" s="1"/>
      <c r="X305" s="1"/>
      <c r="Y305" s="1"/>
      <c r="Z305" s="1"/>
    </row>
    <row r="306" spans="1:26" ht="32" x14ac:dyDescent="0.2">
      <c r="A306" s="69"/>
      <c r="B306" s="17">
        <v>296</v>
      </c>
      <c r="C306" s="6" t="s">
        <v>1455</v>
      </c>
      <c r="D306" s="18" t="s">
        <v>807</v>
      </c>
      <c r="E306" s="15" t="s">
        <v>808</v>
      </c>
      <c r="F306" s="15" t="s">
        <v>809</v>
      </c>
      <c r="G306" s="16" t="s">
        <v>589</v>
      </c>
      <c r="H306" s="16" t="s">
        <v>51</v>
      </c>
      <c r="I306" s="15" t="s">
        <v>51</v>
      </c>
      <c r="J306" s="15"/>
      <c r="K306" s="1"/>
      <c r="L306" s="1"/>
      <c r="M306" s="1"/>
      <c r="N306" s="1"/>
      <c r="O306" s="1"/>
      <c r="P306" s="1"/>
      <c r="Q306" s="1"/>
      <c r="R306" s="1"/>
      <c r="S306" s="1"/>
      <c r="T306" s="1"/>
      <c r="U306" s="1"/>
      <c r="V306" s="1"/>
      <c r="W306" s="1"/>
      <c r="X306" s="1"/>
      <c r="Y306" s="1"/>
      <c r="Z306" s="1"/>
    </row>
    <row r="307" spans="1:26" ht="16" hidden="1" x14ac:dyDescent="0.2">
      <c r="A307" s="69"/>
      <c r="B307" s="17">
        <v>297</v>
      </c>
      <c r="C307" s="6" t="s">
        <v>1455</v>
      </c>
      <c r="D307" s="18" t="s">
        <v>810</v>
      </c>
      <c r="E307" s="15" t="s">
        <v>811</v>
      </c>
      <c r="F307" s="15" t="s">
        <v>812</v>
      </c>
      <c r="G307" s="16" t="s">
        <v>65</v>
      </c>
      <c r="H307" s="16" t="s">
        <v>37</v>
      </c>
      <c r="I307" s="15" t="s">
        <v>51</v>
      </c>
      <c r="J307" s="15"/>
      <c r="K307" s="1"/>
      <c r="L307" s="1"/>
      <c r="M307" s="1"/>
      <c r="N307" s="1"/>
      <c r="O307" s="1"/>
      <c r="P307" s="1"/>
      <c r="Q307" s="1"/>
      <c r="R307" s="1"/>
      <c r="S307" s="1"/>
      <c r="T307" s="1"/>
      <c r="U307" s="1"/>
      <c r="V307" s="1"/>
      <c r="W307" s="1"/>
      <c r="X307" s="1"/>
      <c r="Y307" s="1"/>
      <c r="Z307" s="1"/>
    </row>
    <row r="308" spans="1:26" ht="64" x14ac:dyDescent="0.2">
      <c r="A308" s="69"/>
      <c r="B308" s="17">
        <v>298</v>
      </c>
      <c r="C308" s="6" t="s">
        <v>1455</v>
      </c>
      <c r="D308" s="18" t="s">
        <v>813</v>
      </c>
      <c r="E308" s="15" t="s">
        <v>814</v>
      </c>
      <c r="F308" s="15" t="s">
        <v>815</v>
      </c>
      <c r="G308" s="16" t="s">
        <v>589</v>
      </c>
      <c r="H308" s="16" t="s">
        <v>51</v>
      </c>
      <c r="I308" s="15" t="s">
        <v>51</v>
      </c>
      <c r="J308" s="15"/>
      <c r="K308" s="1"/>
      <c r="L308" s="1"/>
      <c r="M308" s="1"/>
      <c r="N308" s="1"/>
      <c r="O308" s="1"/>
      <c r="P308" s="1"/>
      <c r="Q308" s="1"/>
      <c r="R308" s="1"/>
      <c r="S308" s="1"/>
      <c r="T308" s="1"/>
      <c r="U308" s="1"/>
      <c r="V308" s="1"/>
      <c r="W308" s="1"/>
      <c r="X308" s="1"/>
      <c r="Y308" s="1"/>
      <c r="Z308" s="1"/>
    </row>
    <row r="309" spans="1:26" ht="14.25" hidden="1" customHeight="1" x14ac:dyDescent="0.2">
      <c r="A309" s="69"/>
      <c r="B309" s="17">
        <v>299</v>
      </c>
      <c r="C309" s="6" t="s">
        <v>1455</v>
      </c>
      <c r="D309" s="6" t="s">
        <v>816</v>
      </c>
      <c r="E309" s="15" t="s">
        <v>817</v>
      </c>
      <c r="F309" s="15" t="s">
        <v>818</v>
      </c>
      <c r="G309" s="16" t="s">
        <v>65</v>
      </c>
      <c r="H309" s="16" t="s">
        <v>37</v>
      </c>
      <c r="I309" s="15" t="s">
        <v>51</v>
      </c>
      <c r="J309" s="15"/>
      <c r="K309" s="1"/>
      <c r="L309" s="1"/>
      <c r="M309" s="1"/>
      <c r="N309" s="1"/>
      <c r="O309" s="1"/>
      <c r="P309" s="1"/>
      <c r="Q309" s="1"/>
      <c r="R309" s="1"/>
      <c r="S309" s="1"/>
      <c r="T309" s="1"/>
      <c r="U309" s="1"/>
      <c r="V309" s="1"/>
      <c r="W309" s="1"/>
      <c r="X309" s="1"/>
      <c r="Y309" s="1"/>
      <c r="Z309" s="1"/>
    </row>
    <row r="310" spans="1:26" ht="14.25" customHeight="1" x14ac:dyDescent="0.2">
      <c r="A310" s="69"/>
      <c r="B310" s="17">
        <v>300</v>
      </c>
      <c r="C310" s="6" t="s">
        <v>1455</v>
      </c>
      <c r="D310" s="6" t="s">
        <v>819</v>
      </c>
      <c r="E310" s="15" t="s">
        <v>820</v>
      </c>
      <c r="F310" s="15" t="s">
        <v>819</v>
      </c>
      <c r="G310" s="16" t="s">
        <v>589</v>
      </c>
      <c r="H310" s="16" t="s">
        <v>51</v>
      </c>
      <c r="I310" s="15" t="s">
        <v>51</v>
      </c>
      <c r="J310" s="15"/>
      <c r="K310" s="1"/>
      <c r="L310" s="1"/>
      <c r="M310" s="1"/>
      <c r="N310" s="1"/>
      <c r="O310" s="1"/>
      <c r="P310" s="1"/>
      <c r="Q310" s="1"/>
      <c r="R310" s="1"/>
      <c r="S310" s="1"/>
      <c r="T310" s="1"/>
      <c r="U310" s="1"/>
      <c r="V310" s="1"/>
      <c r="W310" s="1"/>
      <c r="X310" s="1"/>
      <c r="Y310" s="1"/>
      <c r="Z310" s="1"/>
    </row>
    <row r="311" spans="1:26" ht="14.25" hidden="1" customHeight="1" x14ac:dyDescent="0.2">
      <c r="A311" s="69"/>
      <c r="B311" s="17">
        <v>301</v>
      </c>
      <c r="C311" s="6" t="s">
        <v>1455</v>
      </c>
      <c r="D311" s="6" t="s">
        <v>821</v>
      </c>
      <c r="E311" s="15" t="s">
        <v>822</v>
      </c>
      <c r="F311" s="15" t="s">
        <v>821</v>
      </c>
      <c r="G311" s="16" t="s">
        <v>65</v>
      </c>
      <c r="H311" s="16" t="s">
        <v>37</v>
      </c>
      <c r="I311" s="15" t="s">
        <v>51</v>
      </c>
      <c r="J311" s="15"/>
      <c r="K311" s="1"/>
      <c r="L311" s="1"/>
      <c r="M311" s="1"/>
      <c r="N311" s="1"/>
      <c r="O311" s="1"/>
      <c r="P311" s="1"/>
      <c r="Q311" s="1"/>
      <c r="R311" s="1"/>
      <c r="S311" s="1"/>
      <c r="T311" s="1"/>
      <c r="U311" s="1"/>
      <c r="V311" s="1"/>
      <c r="W311" s="1"/>
      <c r="X311" s="1"/>
      <c r="Y311" s="1"/>
      <c r="Z311" s="1"/>
    </row>
    <row r="312" spans="1:26" ht="14.25" hidden="1" customHeight="1" x14ac:dyDescent="0.2">
      <c r="A312" s="69"/>
      <c r="B312" s="17">
        <v>302</v>
      </c>
      <c r="C312" s="6" t="s">
        <v>1455</v>
      </c>
      <c r="D312" s="6" t="s">
        <v>823</v>
      </c>
      <c r="E312" s="15" t="s">
        <v>824</v>
      </c>
      <c r="F312" s="15" t="s">
        <v>823</v>
      </c>
      <c r="G312" s="16" t="s">
        <v>65</v>
      </c>
      <c r="H312" s="16" t="s">
        <v>37</v>
      </c>
      <c r="I312" s="15" t="s">
        <v>51</v>
      </c>
      <c r="J312" s="15"/>
      <c r="K312" s="1"/>
      <c r="L312" s="1"/>
      <c r="M312" s="1"/>
      <c r="N312" s="1"/>
      <c r="O312" s="1"/>
      <c r="P312" s="1"/>
      <c r="Q312" s="1"/>
      <c r="R312" s="1"/>
      <c r="S312" s="1"/>
      <c r="T312" s="1"/>
      <c r="U312" s="1"/>
      <c r="V312" s="1"/>
      <c r="W312" s="1"/>
      <c r="X312" s="1"/>
      <c r="Y312" s="1"/>
      <c r="Z312" s="1"/>
    </row>
    <row r="313" spans="1:26" ht="16" x14ac:dyDescent="0.2">
      <c r="A313" s="69"/>
      <c r="B313" s="17">
        <v>303</v>
      </c>
      <c r="C313" s="6" t="s">
        <v>1455</v>
      </c>
      <c r="D313" s="18" t="s">
        <v>825</v>
      </c>
      <c r="E313" s="15" t="s">
        <v>826</v>
      </c>
      <c r="F313" s="15" t="s">
        <v>827</v>
      </c>
      <c r="G313" s="16" t="s">
        <v>589</v>
      </c>
      <c r="H313" s="16" t="s">
        <v>51</v>
      </c>
      <c r="I313" s="15" t="s">
        <v>51</v>
      </c>
      <c r="J313" s="15"/>
      <c r="K313" s="1"/>
      <c r="L313" s="1"/>
      <c r="M313" s="1"/>
      <c r="N313" s="1"/>
      <c r="O313" s="1"/>
      <c r="P313" s="1"/>
      <c r="Q313" s="1"/>
      <c r="R313" s="1"/>
      <c r="S313" s="1"/>
      <c r="T313" s="1"/>
      <c r="U313" s="1"/>
      <c r="V313" s="1"/>
      <c r="W313" s="1"/>
      <c r="X313" s="1"/>
      <c r="Y313" s="1"/>
      <c r="Z313" s="1"/>
    </row>
    <row r="314" spans="1:26" ht="14.25" hidden="1" customHeight="1" x14ac:dyDescent="0.2">
      <c r="A314" s="69"/>
      <c r="B314" s="17">
        <v>304</v>
      </c>
      <c r="C314" s="6" t="s">
        <v>1455</v>
      </c>
      <c r="D314" s="6" t="s">
        <v>828</v>
      </c>
      <c r="E314" s="15" t="s">
        <v>829</v>
      </c>
      <c r="F314" s="15" t="s">
        <v>828</v>
      </c>
      <c r="G314" s="16" t="s">
        <v>65</v>
      </c>
      <c r="H314" s="16" t="s">
        <v>37</v>
      </c>
      <c r="I314" s="15" t="s">
        <v>51</v>
      </c>
      <c r="J314" s="15" t="s">
        <v>830</v>
      </c>
      <c r="K314" s="1"/>
      <c r="L314" s="1"/>
      <c r="M314" s="1"/>
      <c r="N314" s="1"/>
      <c r="O314" s="1"/>
      <c r="P314" s="1"/>
      <c r="Q314" s="1"/>
      <c r="R314" s="1"/>
      <c r="S314" s="1"/>
      <c r="T314" s="1"/>
      <c r="U314" s="1"/>
      <c r="V314" s="1"/>
      <c r="W314" s="1"/>
      <c r="X314" s="1"/>
      <c r="Y314" s="1"/>
      <c r="Z314" s="1"/>
    </row>
    <row r="315" spans="1:26" ht="64" x14ac:dyDescent="0.2">
      <c r="A315" s="69"/>
      <c r="B315" s="17">
        <v>305</v>
      </c>
      <c r="C315" s="6" t="s">
        <v>1455</v>
      </c>
      <c r="D315" s="18" t="s">
        <v>831</v>
      </c>
      <c r="E315" s="15" t="s">
        <v>832</v>
      </c>
      <c r="F315" s="15" t="s">
        <v>833</v>
      </c>
      <c r="G315" s="16" t="s">
        <v>589</v>
      </c>
      <c r="H315" s="16" t="s">
        <v>51</v>
      </c>
      <c r="I315" s="15" t="s">
        <v>51</v>
      </c>
      <c r="J315" s="15"/>
      <c r="K315" s="1"/>
      <c r="L315" s="1"/>
      <c r="M315" s="1"/>
      <c r="N315" s="1"/>
      <c r="O315" s="1"/>
      <c r="P315" s="1"/>
      <c r="Q315" s="1"/>
      <c r="R315" s="1"/>
      <c r="S315" s="1"/>
      <c r="T315" s="1"/>
      <c r="U315" s="1"/>
      <c r="V315" s="1"/>
      <c r="W315" s="1"/>
      <c r="X315" s="1"/>
      <c r="Y315" s="1"/>
      <c r="Z315" s="1"/>
    </row>
    <row r="316" spans="1:26" ht="14.25" hidden="1" customHeight="1" x14ac:dyDescent="0.2">
      <c r="A316" s="69"/>
      <c r="B316" s="17">
        <v>306</v>
      </c>
      <c r="C316" s="6" t="s">
        <v>1455</v>
      </c>
      <c r="D316" s="6" t="s">
        <v>834</v>
      </c>
      <c r="E316" s="15" t="s">
        <v>835</v>
      </c>
      <c r="F316" s="15" t="s">
        <v>834</v>
      </c>
      <c r="G316" s="16" t="s">
        <v>836</v>
      </c>
      <c r="H316" s="16" t="s">
        <v>37</v>
      </c>
      <c r="I316" s="15" t="s">
        <v>51</v>
      </c>
      <c r="J316" s="15"/>
      <c r="K316" s="1"/>
      <c r="L316" s="1"/>
      <c r="M316" s="1"/>
      <c r="N316" s="1"/>
      <c r="O316" s="1"/>
      <c r="P316" s="1"/>
      <c r="Q316" s="1"/>
      <c r="R316" s="1"/>
      <c r="S316" s="1"/>
      <c r="T316" s="1"/>
      <c r="U316" s="1"/>
      <c r="V316" s="1"/>
      <c r="W316" s="1"/>
      <c r="X316" s="1"/>
      <c r="Y316" s="1"/>
      <c r="Z316" s="1"/>
    </row>
    <row r="317" spans="1:26" ht="335" x14ac:dyDescent="0.2">
      <c r="A317" s="69"/>
      <c r="B317" s="17">
        <v>307</v>
      </c>
      <c r="C317" s="6" t="s">
        <v>1455</v>
      </c>
      <c r="D317" s="18" t="s">
        <v>837</v>
      </c>
      <c r="E317" s="15" t="s">
        <v>838</v>
      </c>
      <c r="F317" s="15" t="s">
        <v>839</v>
      </c>
      <c r="G317" s="16" t="s">
        <v>589</v>
      </c>
      <c r="H317" s="16" t="s">
        <v>51</v>
      </c>
      <c r="I317" s="15" t="s">
        <v>51</v>
      </c>
      <c r="J317" s="15"/>
      <c r="K317" s="1"/>
      <c r="L317" s="1"/>
      <c r="M317" s="1"/>
      <c r="N317" s="1"/>
      <c r="O317" s="1"/>
      <c r="P317" s="1"/>
      <c r="Q317" s="1"/>
      <c r="R317" s="1"/>
      <c r="S317" s="1"/>
      <c r="T317" s="1"/>
      <c r="U317" s="1"/>
      <c r="V317" s="1"/>
      <c r="W317" s="1"/>
      <c r="X317" s="1"/>
      <c r="Y317" s="1"/>
      <c r="Z317" s="1"/>
    </row>
    <row r="318" spans="1:26" ht="14.25" customHeight="1" x14ac:dyDescent="0.2">
      <c r="A318" s="69"/>
      <c r="B318" s="17">
        <v>308</v>
      </c>
      <c r="C318" s="6" t="s">
        <v>1455</v>
      </c>
      <c r="D318" s="18" t="s">
        <v>840</v>
      </c>
      <c r="E318" s="15" t="s">
        <v>841</v>
      </c>
      <c r="F318" s="15" t="s">
        <v>842</v>
      </c>
      <c r="G318" s="16" t="s">
        <v>589</v>
      </c>
      <c r="H318" s="16" t="s">
        <v>51</v>
      </c>
      <c r="I318" s="15" t="s">
        <v>51</v>
      </c>
      <c r="J318" s="15"/>
      <c r="K318" s="1"/>
      <c r="L318" s="1"/>
      <c r="M318" s="1"/>
      <c r="N318" s="1"/>
      <c r="O318" s="1"/>
      <c r="P318" s="1"/>
      <c r="Q318" s="1"/>
      <c r="R318" s="1"/>
      <c r="S318" s="1"/>
      <c r="T318" s="1"/>
      <c r="U318" s="1"/>
      <c r="V318" s="1"/>
      <c r="W318" s="1"/>
      <c r="X318" s="1"/>
      <c r="Y318" s="1"/>
      <c r="Z318" s="1"/>
    </row>
    <row r="319" spans="1:26" ht="14.25" hidden="1" customHeight="1" x14ac:dyDescent="0.2">
      <c r="A319" s="69"/>
      <c r="B319" s="17">
        <v>309</v>
      </c>
      <c r="C319" s="6" t="s">
        <v>1455</v>
      </c>
      <c r="D319" s="6" t="s">
        <v>843</v>
      </c>
      <c r="E319" s="15" t="s">
        <v>844</v>
      </c>
      <c r="F319" s="15" t="s">
        <v>843</v>
      </c>
      <c r="G319" s="16" t="s">
        <v>836</v>
      </c>
      <c r="H319" s="16" t="s">
        <v>51</v>
      </c>
      <c r="I319" s="15" t="s">
        <v>51</v>
      </c>
      <c r="J319" s="15" t="s">
        <v>66</v>
      </c>
      <c r="K319" s="1"/>
      <c r="L319" s="1"/>
      <c r="M319" s="1"/>
      <c r="N319" s="1"/>
      <c r="O319" s="1"/>
      <c r="P319" s="1"/>
      <c r="Q319" s="1"/>
      <c r="R319" s="1"/>
      <c r="S319" s="1"/>
      <c r="T319" s="1"/>
      <c r="U319" s="1"/>
      <c r="V319" s="1"/>
      <c r="W319" s="1"/>
      <c r="X319" s="1"/>
      <c r="Y319" s="1"/>
      <c r="Z319" s="1"/>
    </row>
    <row r="320" spans="1:26" ht="14.25" hidden="1" customHeight="1" x14ac:dyDescent="0.2">
      <c r="A320" s="69"/>
      <c r="B320" s="17">
        <v>310</v>
      </c>
      <c r="C320" s="6" t="s">
        <v>1455</v>
      </c>
      <c r="D320" s="6" t="s">
        <v>845</v>
      </c>
      <c r="E320" s="6" t="s">
        <v>846</v>
      </c>
      <c r="F320" s="6" t="s">
        <v>845</v>
      </c>
      <c r="G320" s="16" t="s">
        <v>836</v>
      </c>
      <c r="H320" s="16" t="s">
        <v>37</v>
      </c>
      <c r="I320" s="15" t="s">
        <v>51</v>
      </c>
      <c r="J320" s="15"/>
      <c r="K320" s="1"/>
      <c r="L320" s="1"/>
      <c r="M320" s="1"/>
      <c r="N320" s="1"/>
      <c r="O320" s="1"/>
      <c r="P320" s="1"/>
      <c r="Q320" s="1"/>
      <c r="R320" s="1"/>
      <c r="S320" s="1"/>
      <c r="T320" s="1"/>
      <c r="U320" s="1"/>
      <c r="V320" s="1"/>
      <c r="W320" s="1"/>
      <c r="X320" s="1"/>
      <c r="Y320" s="1"/>
      <c r="Z320" s="1"/>
    </row>
    <row r="321" spans="1:26" ht="14.25" customHeight="1" x14ac:dyDescent="0.2">
      <c r="A321" s="69"/>
      <c r="B321" s="30">
        <v>311</v>
      </c>
      <c r="C321" s="6" t="s">
        <v>1455</v>
      </c>
      <c r="D321" s="8" t="s">
        <v>847</v>
      </c>
      <c r="E321" s="6" t="s">
        <v>848</v>
      </c>
      <c r="F321" s="6" t="s">
        <v>847</v>
      </c>
      <c r="G321" s="6" t="s">
        <v>836</v>
      </c>
      <c r="H321" s="16" t="s">
        <v>51</v>
      </c>
      <c r="I321" s="15" t="s">
        <v>51</v>
      </c>
      <c r="J321" s="15"/>
      <c r="K321" s="1"/>
      <c r="L321" s="1"/>
      <c r="M321" s="1"/>
      <c r="N321" s="1"/>
      <c r="O321" s="1"/>
      <c r="P321" s="1"/>
      <c r="Q321" s="1"/>
      <c r="R321" s="1"/>
      <c r="S321" s="1"/>
      <c r="T321" s="1"/>
      <c r="U321" s="1"/>
      <c r="V321" s="1"/>
      <c r="W321" s="1"/>
      <c r="X321" s="1"/>
      <c r="Y321" s="1"/>
      <c r="Z321" s="1"/>
    </row>
    <row r="322" spans="1:26" ht="14.25" customHeight="1" x14ac:dyDescent="0.2">
      <c r="A322" s="69"/>
      <c r="B322" s="30">
        <v>312</v>
      </c>
      <c r="C322" s="10" t="s">
        <v>1455</v>
      </c>
      <c r="D322" s="8" t="s">
        <v>849</v>
      </c>
      <c r="E322" s="6" t="s">
        <v>850</v>
      </c>
      <c r="F322" s="6" t="s">
        <v>851</v>
      </c>
      <c r="G322" s="6" t="s">
        <v>836</v>
      </c>
      <c r="H322" s="16" t="s">
        <v>51</v>
      </c>
      <c r="I322" s="15" t="s">
        <v>51</v>
      </c>
      <c r="J322" s="33"/>
      <c r="K322" s="1"/>
      <c r="L322" s="1"/>
      <c r="M322" s="1"/>
      <c r="N322" s="1"/>
      <c r="O322" s="1"/>
      <c r="P322" s="1"/>
      <c r="Q322" s="1"/>
      <c r="R322" s="1"/>
      <c r="S322" s="1"/>
      <c r="T322" s="1"/>
      <c r="U322" s="1"/>
      <c r="V322" s="1"/>
      <c r="W322" s="1"/>
      <c r="X322" s="1"/>
      <c r="Y322" s="1"/>
      <c r="Z322" s="1"/>
    </row>
    <row r="323" spans="1:26" ht="66.75" customHeight="1" x14ac:dyDescent="0.2">
      <c r="A323" s="70"/>
      <c r="B323" s="20">
        <v>313</v>
      </c>
      <c r="C323" s="10" t="s">
        <v>1455</v>
      </c>
      <c r="D323" s="10" t="s">
        <v>852</v>
      </c>
      <c r="E323" s="6" t="s">
        <v>853</v>
      </c>
      <c r="F323" s="6" t="s">
        <v>854</v>
      </c>
      <c r="G323" s="6" t="s">
        <v>836</v>
      </c>
      <c r="H323" s="16" t="s">
        <v>51</v>
      </c>
      <c r="I323" s="15" t="s">
        <v>51</v>
      </c>
      <c r="J323" s="10"/>
      <c r="K323" s="1"/>
      <c r="L323" s="1"/>
      <c r="M323" s="1"/>
      <c r="N323" s="1"/>
      <c r="O323" s="1"/>
      <c r="P323" s="1"/>
      <c r="Q323" s="1"/>
      <c r="R323" s="1"/>
      <c r="S323" s="1"/>
      <c r="T323" s="1"/>
      <c r="U323" s="1"/>
      <c r="V323" s="1"/>
      <c r="W323" s="1"/>
      <c r="X323" s="1"/>
      <c r="Y323" s="1"/>
      <c r="Z323" s="1"/>
    </row>
    <row r="324" spans="1:26" ht="48" x14ac:dyDescent="0.2">
      <c r="A324" s="74" t="s">
        <v>855</v>
      </c>
      <c r="B324" s="34">
        <v>314</v>
      </c>
      <c r="C324" s="35" t="s">
        <v>1460</v>
      </c>
      <c r="D324" s="15" t="s">
        <v>1461</v>
      </c>
      <c r="E324" s="21" t="s">
        <v>858</v>
      </c>
      <c r="F324" s="22" t="s">
        <v>859</v>
      </c>
      <c r="G324" s="23" t="s">
        <v>589</v>
      </c>
      <c r="H324" s="22" t="s">
        <v>51</v>
      </c>
      <c r="I324" s="22" t="s">
        <v>51</v>
      </c>
      <c r="J324" s="22"/>
      <c r="K324" s="1"/>
      <c r="L324" s="1"/>
      <c r="M324" s="1"/>
      <c r="N324" s="1"/>
      <c r="O324" s="1"/>
      <c r="P324" s="1"/>
      <c r="Q324" s="1"/>
      <c r="R324" s="1"/>
      <c r="S324" s="1"/>
      <c r="T324" s="1"/>
      <c r="U324" s="1"/>
      <c r="V324" s="1"/>
      <c r="W324" s="1"/>
      <c r="X324" s="1"/>
      <c r="Y324" s="1"/>
      <c r="Z324" s="1"/>
    </row>
    <row r="325" spans="1:26" ht="14.25" hidden="1" customHeight="1" x14ac:dyDescent="0.2">
      <c r="A325" s="75"/>
      <c r="B325" s="36"/>
      <c r="C325" s="24" t="s">
        <v>1455</v>
      </c>
      <c r="D325" s="15" t="s">
        <v>1462</v>
      </c>
      <c r="E325" s="25"/>
      <c r="F325" s="26"/>
      <c r="G325" s="27"/>
      <c r="H325" s="26"/>
      <c r="I325" s="26"/>
      <c r="J325" s="26"/>
      <c r="K325" s="1"/>
      <c r="L325" s="1"/>
      <c r="M325" s="1"/>
      <c r="N325" s="1"/>
      <c r="O325" s="1"/>
      <c r="P325" s="1"/>
      <c r="Q325" s="1"/>
      <c r="R325" s="1"/>
      <c r="S325" s="1"/>
      <c r="T325" s="1"/>
      <c r="U325" s="1"/>
      <c r="V325" s="1"/>
      <c r="W325" s="1"/>
      <c r="X325" s="1"/>
      <c r="Y325" s="1"/>
      <c r="Z325" s="1"/>
    </row>
    <row r="326" spans="1:26" ht="14.25" customHeight="1" x14ac:dyDescent="0.2">
      <c r="A326" s="28"/>
      <c r="B326" s="28"/>
      <c r="C326" s="1"/>
      <c r="D326" s="18"/>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2">
      <c r="A327" s="28"/>
      <c r="B327" s="28"/>
      <c r="C327" s="1"/>
      <c r="D327" s="18"/>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2">
      <c r="A328" s="28"/>
      <c r="B328" s="28"/>
      <c r="C328" s="1"/>
      <c r="D328" s="18"/>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2">
      <c r="A329" s="28"/>
      <c r="B329" s="28"/>
      <c r="C329" s="1"/>
      <c r="D329" s="18"/>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2">
      <c r="A330" s="28"/>
      <c r="B330" s="28"/>
      <c r="C330" s="1"/>
      <c r="D330" s="18"/>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2">
      <c r="A331" s="28"/>
      <c r="B331" s="28"/>
      <c r="C331" s="1"/>
      <c r="D331" s="18"/>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2">
      <c r="A332" s="28"/>
      <c r="B332" s="28"/>
      <c r="C332" s="1"/>
      <c r="D332" s="18"/>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2">
      <c r="A333" s="28"/>
      <c r="B333" s="28"/>
      <c r="C333" s="1"/>
      <c r="D333" s="18"/>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2">
      <c r="A334" s="28"/>
      <c r="B334" s="28"/>
      <c r="C334" s="1"/>
      <c r="D334" s="18"/>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2">
      <c r="A335" s="28"/>
      <c r="B335" s="28"/>
      <c r="C335" s="1"/>
      <c r="D335" s="18"/>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2">
      <c r="A336" s="28"/>
      <c r="B336" s="28"/>
      <c r="C336" s="1"/>
      <c r="D336" s="18"/>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2">
      <c r="A337" s="28"/>
      <c r="B337" s="28"/>
      <c r="C337" s="1"/>
      <c r="D337" s="18"/>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2">
      <c r="A338" s="28"/>
      <c r="B338" s="28"/>
      <c r="C338" s="1"/>
      <c r="D338" s="18"/>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2">
      <c r="A339" s="28"/>
      <c r="B339" s="28"/>
      <c r="C339" s="1"/>
      <c r="D339" s="18"/>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2">
      <c r="A340" s="28"/>
      <c r="B340" s="28"/>
      <c r="C340" s="1"/>
      <c r="D340" s="18"/>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2">
      <c r="A341" s="28"/>
      <c r="B341" s="28"/>
      <c r="C341" s="1"/>
      <c r="D341" s="18"/>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2">
      <c r="A342" s="28"/>
      <c r="B342" s="28"/>
      <c r="C342" s="1"/>
      <c r="D342" s="18"/>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2">
      <c r="A343" s="28"/>
      <c r="B343" s="28"/>
      <c r="C343" s="1"/>
      <c r="D343" s="18"/>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2">
      <c r="A344" s="28"/>
      <c r="B344" s="28"/>
      <c r="C344" s="1"/>
      <c r="D344" s="18"/>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2">
      <c r="A345" s="28"/>
      <c r="B345" s="28"/>
      <c r="C345" s="1"/>
      <c r="D345" s="18"/>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2">
      <c r="A346" s="28"/>
      <c r="B346" s="28"/>
      <c r="C346" s="1"/>
      <c r="D346" s="18"/>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2">
      <c r="A347" s="28"/>
      <c r="B347" s="28"/>
      <c r="C347" s="1"/>
      <c r="D347" s="18"/>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2">
      <c r="A348" s="28"/>
      <c r="B348" s="28"/>
      <c r="C348" s="1"/>
      <c r="D348" s="18"/>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2">
      <c r="A349" s="28"/>
      <c r="B349" s="28"/>
      <c r="C349" s="1"/>
      <c r="D349" s="18"/>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2">
      <c r="A350" s="28"/>
      <c r="B350" s="28"/>
      <c r="C350" s="1"/>
      <c r="D350" s="18"/>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2">
      <c r="A351" s="28"/>
      <c r="B351" s="28"/>
      <c r="C351" s="1"/>
      <c r="D351" s="18"/>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2">
      <c r="A352" s="28"/>
      <c r="B352" s="28"/>
      <c r="C352" s="1"/>
      <c r="D352" s="18"/>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2">
      <c r="A353" s="28"/>
      <c r="B353" s="28"/>
      <c r="C353" s="1"/>
      <c r="D353" s="18"/>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2">
      <c r="A354" s="28"/>
      <c r="B354" s="28"/>
      <c r="C354" s="1"/>
      <c r="D354" s="18"/>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2">
      <c r="A355" s="28"/>
      <c r="B355" s="28"/>
      <c r="C355" s="1"/>
      <c r="D355" s="18"/>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2">
      <c r="A356" s="28"/>
      <c r="B356" s="28"/>
      <c r="C356" s="1"/>
      <c r="D356" s="18"/>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2">
      <c r="A357" s="28"/>
      <c r="B357" s="28"/>
      <c r="C357" s="1"/>
      <c r="D357" s="18"/>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2">
      <c r="A358" s="28"/>
      <c r="B358" s="28"/>
      <c r="C358" s="1"/>
      <c r="D358" s="18"/>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2">
      <c r="A359" s="28"/>
      <c r="B359" s="28"/>
      <c r="C359" s="1"/>
      <c r="D359" s="18"/>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2">
      <c r="A360" s="28"/>
      <c r="B360" s="28"/>
      <c r="C360" s="1"/>
      <c r="D360" s="18"/>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2">
      <c r="A361" s="28"/>
      <c r="B361" s="28"/>
      <c r="C361" s="1"/>
      <c r="D361" s="18"/>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2">
      <c r="A362" s="28"/>
      <c r="B362" s="28"/>
      <c r="C362" s="1"/>
      <c r="D362" s="18"/>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2">
      <c r="A363" s="28"/>
      <c r="B363" s="28"/>
      <c r="C363" s="1"/>
      <c r="D363" s="18"/>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2">
      <c r="A364" s="28"/>
      <c r="B364" s="28"/>
      <c r="C364" s="1"/>
      <c r="D364" s="18"/>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2">
      <c r="A365" s="28"/>
      <c r="B365" s="28"/>
      <c r="C365" s="1"/>
      <c r="D365" s="18"/>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2">
      <c r="A366" s="28"/>
      <c r="B366" s="28"/>
      <c r="C366" s="1"/>
      <c r="D366" s="18"/>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2">
      <c r="A367" s="28"/>
      <c r="B367" s="28"/>
      <c r="C367" s="1"/>
      <c r="D367" s="18"/>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2">
      <c r="A368" s="28"/>
      <c r="B368" s="28"/>
      <c r="C368" s="1"/>
      <c r="D368" s="18"/>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2">
      <c r="A369" s="28"/>
      <c r="B369" s="28"/>
      <c r="C369" s="1"/>
      <c r="D369" s="18"/>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2">
      <c r="A370" s="28"/>
      <c r="B370" s="28"/>
      <c r="C370" s="1"/>
      <c r="D370" s="18"/>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2">
      <c r="A371" s="28"/>
      <c r="B371" s="28"/>
      <c r="C371" s="1"/>
      <c r="D371" s="18"/>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2">
      <c r="A372" s="28"/>
      <c r="B372" s="28"/>
      <c r="C372" s="1"/>
      <c r="D372" s="18"/>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2">
      <c r="A373" s="28"/>
      <c r="B373" s="28"/>
      <c r="C373" s="1"/>
      <c r="D373" s="18"/>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2">
      <c r="A374" s="28"/>
      <c r="B374" s="28"/>
      <c r="C374" s="1"/>
      <c r="D374" s="18"/>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2">
      <c r="A375" s="28"/>
      <c r="B375" s="28"/>
      <c r="C375" s="1"/>
      <c r="D375" s="18"/>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2">
      <c r="A376" s="28"/>
      <c r="B376" s="28"/>
      <c r="C376" s="1"/>
      <c r="D376" s="18"/>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2">
      <c r="A377" s="28"/>
      <c r="B377" s="28"/>
      <c r="C377" s="1"/>
      <c r="D377" s="18"/>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2">
      <c r="A378" s="28"/>
      <c r="B378" s="28"/>
      <c r="C378" s="1"/>
      <c r="D378" s="18"/>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2">
      <c r="A379" s="28"/>
      <c r="B379" s="28"/>
      <c r="C379" s="1"/>
      <c r="D379" s="18"/>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2">
      <c r="A380" s="28"/>
      <c r="B380" s="28"/>
      <c r="C380" s="1"/>
      <c r="D380" s="18"/>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2">
      <c r="A381" s="28"/>
      <c r="B381" s="28"/>
      <c r="C381" s="1"/>
      <c r="D381" s="18"/>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2">
      <c r="A382" s="28"/>
      <c r="B382" s="28"/>
      <c r="C382" s="1"/>
      <c r="D382" s="18"/>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2">
      <c r="A383" s="28"/>
      <c r="B383" s="28"/>
      <c r="C383" s="1"/>
      <c r="D383" s="18"/>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2">
      <c r="A384" s="28"/>
      <c r="B384" s="28"/>
      <c r="C384" s="1"/>
      <c r="D384" s="18"/>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2">
      <c r="A385" s="28"/>
      <c r="B385" s="28"/>
      <c r="C385" s="1"/>
      <c r="D385" s="18"/>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2">
      <c r="A386" s="28"/>
      <c r="B386" s="28"/>
      <c r="C386" s="1"/>
      <c r="D386" s="18"/>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2">
      <c r="A387" s="28"/>
      <c r="B387" s="28"/>
      <c r="C387" s="1"/>
      <c r="D387" s="18"/>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2">
      <c r="A388" s="28"/>
      <c r="B388" s="28"/>
      <c r="C388" s="1"/>
      <c r="D388" s="18"/>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2">
      <c r="A389" s="28"/>
      <c r="B389" s="28"/>
      <c r="C389" s="1"/>
      <c r="D389" s="18"/>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2">
      <c r="A390" s="28"/>
      <c r="B390" s="28"/>
      <c r="C390" s="1"/>
      <c r="D390" s="18"/>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2">
      <c r="A391" s="28"/>
      <c r="B391" s="28"/>
      <c r="C391" s="1"/>
      <c r="D391" s="18"/>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2">
      <c r="A392" s="28"/>
      <c r="B392" s="28"/>
      <c r="C392" s="1"/>
      <c r="D392" s="18"/>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2">
      <c r="A393" s="28"/>
      <c r="B393" s="28"/>
      <c r="C393" s="1"/>
      <c r="D393" s="18"/>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2">
      <c r="A394" s="28"/>
      <c r="B394" s="28"/>
      <c r="C394" s="1"/>
      <c r="D394" s="18"/>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2">
      <c r="A395" s="28"/>
      <c r="B395" s="28"/>
      <c r="C395" s="1"/>
      <c r="D395" s="18"/>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2">
      <c r="A396" s="28"/>
      <c r="B396" s="28"/>
      <c r="C396" s="1"/>
      <c r="D396" s="18"/>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2">
      <c r="A397" s="28"/>
      <c r="B397" s="28"/>
      <c r="C397" s="1"/>
      <c r="D397" s="18"/>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2">
      <c r="A398" s="28"/>
      <c r="B398" s="28"/>
      <c r="C398" s="1"/>
      <c r="D398" s="18"/>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2">
      <c r="A399" s="28"/>
      <c r="B399" s="28"/>
      <c r="C399" s="1"/>
      <c r="D399" s="18"/>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2">
      <c r="A400" s="28"/>
      <c r="B400" s="28"/>
      <c r="C400" s="1"/>
      <c r="D400" s="18"/>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2">
      <c r="A401" s="28"/>
      <c r="B401" s="28"/>
      <c r="C401" s="1"/>
      <c r="D401" s="18"/>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2">
      <c r="A402" s="28"/>
      <c r="B402" s="28"/>
      <c r="C402" s="1"/>
      <c r="D402" s="18"/>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2">
      <c r="A403" s="28"/>
      <c r="B403" s="28"/>
      <c r="C403" s="1"/>
      <c r="D403" s="18"/>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2">
      <c r="A404" s="28"/>
      <c r="B404" s="28"/>
      <c r="C404" s="1"/>
      <c r="D404" s="18"/>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2">
      <c r="A405" s="28"/>
      <c r="B405" s="28"/>
      <c r="C405" s="1"/>
      <c r="D405" s="18"/>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2">
      <c r="A406" s="28"/>
      <c r="B406" s="28"/>
      <c r="C406" s="1"/>
      <c r="D406" s="18"/>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2">
      <c r="A407" s="28"/>
      <c r="B407" s="28"/>
      <c r="C407" s="1"/>
      <c r="D407" s="18"/>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2">
      <c r="A408" s="28"/>
      <c r="B408" s="28"/>
      <c r="C408" s="1"/>
      <c r="D408" s="18"/>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2">
      <c r="A409" s="28"/>
      <c r="B409" s="28"/>
      <c r="C409" s="1"/>
      <c r="D409" s="18"/>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2">
      <c r="A410" s="28"/>
      <c r="B410" s="28"/>
      <c r="C410" s="1"/>
      <c r="D410" s="18"/>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2">
      <c r="A411" s="28"/>
      <c r="B411" s="28"/>
      <c r="C411" s="1"/>
      <c r="D411" s="18"/>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2">
      <c r="A412" s="28"/>
      <c r="B412" s="28"/>
      <c r="C412" s="1"/>
      <c r="D412" s="18"/>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2">
      <c r="A413" s="28"/>
      <c r="B413" s="28"/>
      <c r="C413" s="1"/>
      <c r="D413" s="18"/>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2">
      <c r="A414" s="28"/>
      <c r="B414" s="28"/>
      <c r="C414" s="1"/>
      <c r="D414" s="18"/>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2">
      <c r="A415" s="28"/>
      <c r="B415" s="28"/>
      <c r="C415" s="1"/>
      <c r="D415" s="18"/>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2">
      <c r="A416" s="28"/>
      <c r="B416" s="28"/>
      <c r="C416" s="1"/>
      <c r="D416" s="18"/>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2">
      <c r="A417" s="28"/>
      <c r="B417" s="28"/>
      <c r="C417" s="1"/>
      <c r="D417" s="18"/>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2">
      <c r="A418" s="28"/>
      <c r="B418" s="28"/>
      <c r="C418" s="1"/>
      <c r="D418" s="18"/>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2">
      <c r="A419" s="28"/>
      <c r="B419" s="28"/>
      <c r="C419" s="1"/>
      <c r="D419" s="18"/>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2">
      <c r="A420" s="28"/>
      <c r="B420" s="28"/>
      <c r="C420" s="1"/>
      <c r="D420" s="18"/>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2">
      <c r="A421" s="28"/>
      <c r="B421" s="28"/>
      <c r="C421" s="1"/>
      <c r="D421" s="18"/>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2">
      <c r="A422" s="28"/>
      <c r="B422" s="28"/>
      <c r="C422" s="1"/>
      <c r="D422" s="18"/>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2">
      <c r="A423" s="28"/>
      <c r="B423" s="28"/>
      <c r="C423" s="1"/>
      <c r="D423" s="18"/>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2">
      <c r="A424" s="28"/>
      <c r="B424" s="28"/>
      <c r="C424" s="1"/>
      <c r="D424" s="18"/>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2">
      <c r="A425" s="28"/>
      <c r="B425" s="28"/>
      <c r="C425" s="1"/>
      <c r="D425" s="18"/>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2">
      <c r="A426" s="28"/>
      <c r="B426" s="28"/>
      <c r="C426" s="1"/>
      <c r="D426" s="18"/>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2">
      <c r="A427" s="28"/>
      <c r="B427" s="28"/>
      <c r="C427" s="1"/>
      <c r="D427" s="18"/>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2">
      <c r="A428" s="28"/>
      <c r="B428" s="28"/>
      <c r="C428" s="1"/>
      <c r="D428" s="18"/>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2">
      <c r="A429" s="28"/>
      <c r="B429" s="28"/>
      <c r="C429" s="1"/>
      <c r="D429" s="18"/>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2">
      <c r="A430" s="28"/>
      <c r="B430" s="28"/>
      <c r="C430" s="1"/>
      <c r="D430" s="18"/>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2">
      <c r="A431" s="28"/>
      <c r="B431" s="28"/>
      <c r="C431" s="1"/>
      <c r="D431" s="18"/>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2">
      <c r="A432" s="28"/>
      <c r="B432" s="28"/>
      <c r="C432" s="1"/>
      <c r="D432" s="18"/>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2">
      <c r="A433" s="28"/>
      <c r="B433" s="28"/>
      <c r="C433" s="1"/>
      <c r="D433" s="18"/>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2">
      <c r="A434" s="28"/>
      <c r="B434" s="28"/>
      <c r="C434" s="1"/>
      <c r="D434" s="18"/>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2">
      <c r="A435" s="28"/>
      <c r="B435" s="28"/>
      <c r="C435" s="1"/>
      <c r="D435" s="18"/>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2">
      <c r="A436" s="28"/>
      <c r="B436" s="28"/>
      <c r="C436" s="1"/>
      <c r="D436" s="18"/>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2">
      <c r="A437" s="28"/>
      <c r="B437" s="28"/>
      <c r="C437" s="1"/>
      <c r="D437" s="18"/>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2">
      <c r="A438" s="28"/>
      <c r="B438" s="28"/>
      <c r="C438" s="1"/>
      <c r="D438" s="18"/>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2">
      <c r="A439" s="28"/>
      <c r="B439" s="28"/>
      <c r="C439" s="1"/>
      <c r="D439" s="18"/>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2">
      <c r="A440" s="28"/>
      <c r="B440" s="28"/>
      <c r="C440" s="1"/>
      <c r="D440" s="18"/>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2">
      <c r="A441" s="28"/>
      <c r="B441" s="28"/>
      <c r="C441" s="1"/>
      <c r="D441" s="18"/>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2">
      <c r="A442" s="28"/>
      <c r="B442" s="28"/>
      <c r="C442" s="1"/>
      <c r="D442" s="18"/>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2">
      <c r="A443" s="28"/>
      <c r="B443" s="28"/>
      <c r="C443" s="1"/>
      <c r="D443" s="18"/>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2">
      <c r="A444" s="28"/>
      <c r="B444" s="28"/>
      <c r="C444" s="1"/>
      <c r="D444" s="18"/>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2">
      <c r="A445" s="28"/>
      <c r="B445" s="28"/>
      <c r="C445" s="1"/>
      <c r="D445" s="18"/>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2">
      <c r="A446" s="28"/>
      <c r="B446" s="28"/>
      <c r="C446" s="1"/>
      <c r="D446" s="18"/>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2">
      <c r="A447" s="28"/>
      <c r="B447" s="28"/>
      <c r="C447" s="1"/>
      <c r="D447" s="18"/>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2">
      <c r="A448" s="28"/>
      <c r="B448" s="28"/>
      <c r="C448" s="1"/>
      <c r="D448" s="18"/>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2">
      <c r="A449" s="28"/>
      <c r="B449" s="28"/>
      <c r="C449" s="1"/>
      <c r="D449" s="18"/>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2">
      <c r="A450" s="28"/>
      <c r="B450" s="28"/>
      <c r="C450" s="1"/>
      <c r="D450" s="18"/>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2">
      <c r="A451" s="28"/>
      <c r="B451" s="28"/>
      <c r="C451" s="1"/>
      <c r="D451" s="18"/>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2">
      <c r="A452" s="28"/>
      <c r="B452" s="28"/>
      <c r="C452" s="1"/>
      <c r="D452" s="18"/>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2">
      <c r="A453" s="28"/>
      <c r="B453" s="28"/>
      <c r="C453" s="1"/>
      <c r="D453" s="18"/>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2">
      <c r="A454" s="28"/>
      <c r="B454" s="28"/>
      <c r="C454" s="1"/>
      <c r="D454" s="18"/>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2">
      <c r="A455" s="28"/>
      <c r="B455" s="28"/>
      <c r="C455" s="1"/>
      <c r="D455" s="18"/>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2">
      <c r="A456" s="28"/>
      <c r="B456" s="28"/>
      <c r="C456" s="1"/>
      <c r="D456" s="18"/>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2">
      <c r="A457" s="28"/>
      <c r="B457" s="28"/>
      <c r="C457" s="1"/>
      <c r="D457" s="18"/>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2">
      <c r="A458" s="28"/>
      <c r="B458" s="28"/>
      <c r="C458" s="1"/>
      <c r="D458" s="18"/>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2">
      <c r="A459" s="28"/>
      <c r="B459" s="28"/>
      <c r="C459" s="1"/>
      <c r="D459" s="18"/>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2">
      <c r="A460" s="28"/>
      <c r="B460" s="28"/>
      <c r="C460" s="1"/>
      <c r="D460" s="18"/>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2">
      <c r="A461" s="28"/>
      <c r="B461" s="28"/>
      <c r="C461" s="1"/>
      <c r="D461" s="18"/>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2">
      <c r="A462" s="28"/>
      <c r="B462" s="28"/>
      <c r="C462" s="1"/>
      <c r="D462" s="18"/>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2">
      <c r="A463" s="28"/>
      <c r="B463" s="28"/>
      <c r="C463" s="1"/>
      <c r="D463" s="18"/>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2">
      <c r="A464" s="28"/>
      <c r="B464" s="28"/>
      <c r="C464" s="1"/>
      <c r="D464" s="18"/>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2">
      <c r="A465" s="28"/>
      <c r="B465" s="28"/>
      <c r="C465" s="1"/>
      <c r="D465" s="18"/>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2">
      <c r="A466" s="28"/>
      <c r="B466" s="28"/>
      <c r="C466" s="1"/>
      <c r="D466" s="18"/>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2">
      <c r="A467" s="28"/>
      <c r="B467" s="28"/>
      <c r="C467" s="1"/>
      <c r="D467" s="18"/>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2">
      <c r="A468" s="28"/>
      <c r="B468" s="28"/>
      <c r="C468" s="1"/>
      <c r="D468" s="18"/>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2">
      <c r="A469" s="28"/>
      <c r="B469" s="28"/>
      <c r="C469" s="1"/>
      <c r="D469" s="18"/>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2">
      <c r="A470" s="28"/>
      <c r="B470" s="28"/>
      <c r="C470" s="1"/>
      <c r="D470" s="18"/>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2">
      <c r="A471" s="28"/>
      <c r="B471" s="28"/>
      <c r="C471" s="1"/>
      <c r="D471" s="18"/>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2">
      <c r="A472" s="28"/>
      <c r="B472" s="28"/>
      <c r="C472" s="1"/>
      <c r="D472" s="18"/>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2">
      <c r="A473" s="28"/>
      <c r="B473" s="28"/>
      <c r="C473" s="1"/>
      <c r="D473" s="18"/>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2">
      <c r="A474" s="28"/>
      <c r="B474" s="28"/>
      <c r="C474" s="1"/>
      <c r="D474" s="18"/>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2">
      <c r="A475" s="28"/>
      <c r="B475" s="28"/>
      <c r="C475" s="1"/>
      <c r="D475" s="18"/>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2">
      <c r="A476" s="28"/>
      <c r="B476" s="28"/>
      <c r="C476" s="1"/>
      <c r="D476" s="18"/>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2">
      <c r="A477" s="28"/>
      <c r="B477" s="28"/>
      <c r="C477" s="1"/>
      <c r="D477" s="18"/>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2">
      <c r="A478" s="28"/>
      <c r="B478" s="28"/>
      <c r="C478" s="1"/>
      <c r="D478" s="18"/>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2">
      <c r="A479" s="28"/>
      <c r="B479" s="28"/>
      <c r="C479" s="1"/>
      <c r="D479" s="18"/>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2">
      <c r="A480" s="28"/>
      <c r="B480" s="28"/>
      <c r="C480" s="1"/>
      <c r="D480" s="18"/>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2">
      <c r="A481" s="28"/>
      <c r="B481" s="28"/>
      <c r="C481" s="1"/>
      <c r="D481" s="18"/>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2">
      <c r="A482" s="28"/>
      <c r="B482" s="28"/>
      <c r="C482" s="1"/>
      <c r="D482" s="18"/>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2">
      <c r="A483" s="28"/>
      <c r="B483" s="28"/>
      <c r="C483" s="1"/>
      <c r="D483" s="18"/>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2">
      <c r="A484" s="28"/>
      <c r="B484" s="28"/>
      <c r="C484" s="1"/>
      <c r="D484" s="18"/>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2">
      <c r="A485" s="28"/>
      <c r="B485" s="28"/>
      <c r="C485" s="1"/>
      <c r="D485" s="18"/>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2">
      <c r="A486" s="28"/>
      <c r="B486" s="28"/>
      <c r="C486" s="1"/>
      <c r="D486" s="18"/>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2">
      <c r="A487" s="28"/>
      <c r="B487" s="28"/>
      <c r="C487" s="1"/>
      <c r="D487" s="18"/>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2">
      <c r="A488" s="28"/>
      <c r="B488" s="28"/>
      <c r="C488" s="1"/>
      <c r="D488" s="18"/>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2">
      <c r="A489" s="28"/>
      <c r="B489" s="28"/>
      <c r="C489" s="1"/>
      <c r="D489" s="18"/>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2">
      <c r="A490" s="28"/>
      <c r="B490" s="28"/>
      <c r="C490" s="1"/>
      <c r="D490" s="18"/>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2">
      <c r="A491" s="28"/>
      <c r="B491" s="28"/>
      <c r="C491" s="1"/>
      <c r="D491" s="18"/>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2">
      <c r="A492" s="28"/>
      <c r="B492" s="28"/>
      <c r="C492" s="1"/>
      <c r="D492" s="18"/>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2">
      <c r="A493" s="28"/>
      <c r="B493" s="28"/>
      <c r="C493" s="1"/>
      <c r="D493" s="18"/>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2">
      <c r="A494" s="28"/>
      <c r="B494" s="28"/>
      <c r="C494" s="1"/>
      <c r="D494" s="18"/>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2">
      <c r="A495" s="28"/>
      <c r="B495" s="28"/>
      <c r="C495" s="1"/>
      <c r="D495" s="18"/>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2">
      <c r="A496" s="28"/>
      <c r="B496" s="28"/>
      <c r="C496" s="1"/>
      <c r="D496" s="18"/>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2">
      <c r="A497" s="28"/>
      <c r="B497" s="28"/>
      <c r="C497" s="1"/>
      <c r="D497" s="18"/>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2">
      <c r="A498" s="28"/>
      <c r="B498" s="28"/>
      <c r="C498" s="1"/>
      <c r="D498" s="18"/>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2">
      <c r="A499" s="28"/>
      <c r="B499" s="28"/>
      <c r="C499" s="1"/>
      <c r="D499" s="18"/>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2">
      <c r="A500" s="28"/>
      <c r="B500" s="28"/>
      <c r="C500" s="1"/>
      <c r="D500" s="18"/>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2">
      <c r="A501" s="28"/>
      <c r="B501" s="28"/>
      <c r="C501" s="1"/>
      <c r="D501" s="18"/>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2">
      <c r="A502" s="28"/>
      <c r="B502" s="28"/>
      <c r="C502" s="1"/>
      <c r="D502" s="18"/>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2">
      <c r="A503" s="28"/>
      <c r="B503" s="28"/>
      <c r="C503" s="1"/>
      <c r="D503" s="18"/>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2">
      <c r="A504" s="28"/>
      <c r="B504" s="28"/>
      <c r="C504" s="1"/>
      <c r="D504" s="18"/>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2">
      <c r="A505" s="28"/>
      <c r="B505" s="28"/>
      <c r="C505" s="1"/>
      <c r="D505" s="18"/>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2">
      <c r="A506" s="28"/>
      <c r="B506" s="28"/>
      <c r="C506" s="1"/>
      <c r="D506" s="18"/>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2">
      <c r="A507" s="28"/>
      <c r="B507" s="28"/>
      <c r="C507" s="1"/>
      <c r="D507" s="18"/>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2">
      <c r="A508" s="28"/>
      <c r="B508" s="28"/>
      <c r="C508" s="1"/>
      <c r="D508" s="18"/>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2">
      <c r="A509" s="28"/>
      <c r="B509" s="28"/>
      <c r="C509" s="1"/>
      <c r="D509" s="18"/>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2">
      <c r="A510" s="28"/>
      <c r="B510" s="28"/>
      <c r="C510" s="1"/>
      <c r="D510" s="18"/>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2">
      <c r="A511" s="28"/>
      <c r="B511" s="28"/>
      <c r="C511" s="1"/>
      <c r="D511" s="18"/>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2">
      <c r="A512" s="28"/>
      <c r="B512" s="28"/>
      <c r="C512" s="1"/>
      <c r="D512" s="18"/>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2">
      <c r="A513" s="28"/>
      <c r="B513" s="28"/>
      <c r="C513" s="1"/>
      <c r="D513" s="18"/>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2">
      <c r="A514" s="28"/>
      <c r="B514" s="28"/>
      <c r="C514" s="1"/>
      <c r="D514" s="18"/>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2">
      <c r="A515" s="28"/>
      <c r="B515" s="28"/>
      <c r="C515" s="1"/>
      <c r="D515" s="18"/>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2">
      <c r="A516" s="28"/>
      <c r="B516" s="28"/>
      <c r="C516" s="1"/>
      <c r="D516" s="18"/>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2">
      <c r="A517" s="28"/>
      <c r="B517" s="28"/>
      <c r="C517" s="1"/>
      <c r="D517" s="18"/>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2">
      <c r="A518" s="28"/>
      <c r="B518" s="28"/>
      <c r="C518" s="1"/>
      <c r="D518" s="18"/>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2">
      <c r="A519" s="28"/>
      <c r="B519" s="28"/>
      <c r="C519" s="1"/>
      <c r="D519" s="18"/>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2">
      <c r="A520" s="28"/>
      <c r="B520" s="28"/>
      <c r="C520" s="1"/>
      <c r="D520" s="18"/>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2">
      <c r="A521" s="28"/>
      <c r="B521" s="28"/>
      <c r="C521" s="1"/>
      <c r="D521" s="18"/>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2">
      <c r="A522" s="28"/>
      <c r="B522" s="28"/>
      <c r="C522" s="1"/>
      <c r="D522" s="18"/>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2">
      <c r="A523" s="28"/>
      <c r="B523" s="28"/>
      <c r="C523" s="1"/>
      <c r="D523" s="18"/>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2">
      <c r="A524" s="28"/>
      <c r="B524" s="28"/>
      <c r="C524" s="1"/>
      <c r="D524" s="18"/>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2">
      <c r="A525" s="28"/>
      <c r="B525" s="28"/>
      <c r="C525" s="1"/>
      <c r="D525" s="18"/>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2">
      <c r="A526" s="28"/>
      <c r="B526" s="28"/>
      <c r="C526" s="1"/>
      <c r="D526" s="18"/>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2">
      <c r="A527" s="28"/>
      <c r="B527" s="28"/>
      <c r="C527" s="1"/>
      <c r="D527" s="18"/>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2">
      <c r="A528" s="28"/>
      <c r="B528" s="28"/>
      <c r="C528" s="1"/>
      <c r="D528" s="18"/>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2">
      <c r="A529" s="28"/>
      <c r="B529" s="28"/>
      <c r="C529" s="1"/>
      <c r="D529" s="18"/>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2">
      <c r="A530" s="28"/>
      <c r="B530" s="28"/>
      <c r="C530" s="1"/>
      <c r="D530" s="18"/>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2">
      <c r="A531" s="28"/>
      <c r="B531" s="28"/>
      <c r="C531" s="1"/>
      <c r="D531" s="18"/>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2">
      <c r="A532" s="28"/>
      <c r="B532" s="28"/>
      <c r="C532" s="1"/>
      <c r="D532" s="18"/>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2">
      <c r="A533" s="28"/>
      <c r="B533" s="28"/>
      <c r="C533" s="1"/>
      <c r="D533" s="18"/>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2">
      <c r="A534" s="28"/>
      <c r="B534" s="28"/>
      <c r="C534" s="1"/>
      <c r="D534" s="18"/>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2">
      <c r="A535" s="28"/>
      <c r="B535" s="28"/>
      <c r="C535" s="1"/>
      <c r="D535" s="18"/>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2">
      <c r="A536" s="28"/>
      <c r="B536" s="28"/>
      <c r="C536" s="1"/>
      <c r="D536" s="18"/>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2">
      <c r="A537" s="28"/>
      <c r="B537" s="28"/>
      <c r="C537" s="1"/>
      <c r="D537" s="18"/>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2">
      <c r="A538" s="28"/>
      <c r="B538" s="28"/>
      <c r="C538" s="1"/>
      <c r="D538" s="18"/>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2">
      <c r="A539" s="28"/>
      <c r="B539" s="28"/>
      <c r="C539" s="1"/>
      <c r="D539" s="18"/>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2">
      <c r="A540" s="28"/>
      <c r="B540" s="28"/>
      <c r="C540" s="1"/>
      <c r="D540" s="18"/>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2">
      <c r="A541" s="28"/>
      <c r="B541" s="28"/>
      <c r="C541" s="1"/>
      <c r="D541" s="18"/>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2">
      <c r="A542" s="28"/>
      <c r="B542" s="28"/>
      <c r="C542" s="1"/>
      <c r="D542" s="18"/>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2">
      <c r="A543" s="28"/>
      <c r="B543" s="28"/>
      <c r="C543" s="1"/>
      <c r="D543" s="18"/>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2">
      <c r="A544" s="28"/>
      <c r="B544" s="28"/>
      <c r="C544" s="1"/>
      <c r="D544" s="18"/>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2">
      <c r="A545" s="28"/>
      <c r="B545" s="28"/>
      <c r="C545" s="1"/>
      <c r="D545" s="18"/>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2">
      <c r="A546" s="28"/>
      <c r="B546" s="28"/>
      <c r="C546" s="1"/>
      <c r="D546" s="18"/>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2">
      <c r="A547" s="28"/>
      <c r="B547" s="28"/>
      <c r="C547" s="1"/>
      <c r="D547" s="18"/>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2">
      <c r="A548" s="28"/>
      <c r="B548" s="28"/>
      <c r="C548" s="1"/>
      <c r="D548" s="18"/>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2">
      <c r="A549" s="28"/>
      <c r="B549" s="28"/>
      <c r="C549" s="1"/>
      <c r="D549" s="18"/>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2">
      <c r="A550" s="28"/>
      <c r="B550" s="28"/>
      <c r="C550" s="1"/>
      <c r="D550" s="18"/>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2">
      <c r="A551" s="28"/>
      <c r="B551" s="28"/>
      <c r="C551" s="1"/>
      <c r="D551" s="18"/>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2">
      <c r="A552" s="28"/>
      <c r="B552" s="28"/>
      <c r="C552" s="1"/>
      <c r="D552" s="18"/>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2">
      <c r="A553" s="28"/>
      <c r="B553" s="28"/>
      <c r="C553" s="1"/>
      <c r="D553" s="18"/>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2">
      <c r="A554" s="28"/>
      <c r="B554" s="28"/>
      <c r="C554" s="1"/>
      <c r="D554" s="18"/>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2">
      <c r="A555" s="28"/>
      <c r="B555" s="28"/>
      <c r="C555" s="1"/>
      <c r="D555" s="18"/>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2">
      <c r="A556" s="28"/>
      <c r="B556" s="28"/>
      <c r="C556" s="1"/>
      <c r="D556" s="18"/>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2">
      <c r="A557" s="28"/>
      <c r="B557" s="28"/>
      <c r="C557" s="1"/>
      <c r="D557" s="18"/>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2">
      <c r="A558" s="28"/>
      <c r="B558" s="28"/>
      <c r="C558" s="1"/>
      <c r="D558" s="18"/>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2">
      <c r="A559" s="28"/>
      <c r="B559" s="28"/>
      <c r="C559" s="1"/>
      <c r="D559" s="18"/>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2">
      <c r="A560" s="28"/>
      <c r="B560" s="28"/>
      <c r="C560" s="1"/>
      <c r="D560" s="18"/>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2">
      <c r="A561" s="28"/>
      <c r="B561" s="28"/>
      <c r="C561" s="1"/>
      <c r="D561" s="18"/>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2">
      <c r="A562" s="28"/>
      <c r="B562" s="28"/>
      <c r="C562" s="1"/>
      <c r="D562" s="18"/>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2">
      <c r="A563" s="28"/>
      <c r="B563" s="28"/>
      <c r="C563" s="1"/>
      <c r="D563" s="18"/>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2">
      <c r="A564" s="28"/>
      <c r="B564" s="28"/>
      <c r="C564" s="1"/>
      <c r="D564" s="18"/>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2">
      <c r="A565" s="28"/>
      <c r="B565" s="28"/>
      <c r="C565" s="1"/>
      <c r="D565" s="18"/>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2">
      <c r="A566" s="28"/>
      <c r="B566" s="28"/>
      <c r="C566" s="1"/>
      <c r="D566" s="18"/>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2">
      <c r="A567" s="28"/>
      <c r="B567" s="28"/>
      <c r="C567" s="1"/>
      <c r="D567" s="18"/>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2">
      <c r="A568" s="28"/>
      <c r="B568" s="28"/>
      <c r="C568" s="1"/>
      <c r="D568" s="18"/>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2">
      <c r="A569" s="28"/>
      <c r="B569" s="28"/>
      <c r="C569" s="1"/>
      <c r="D569" s="18"/>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2">
      <c r="A570" s="28"/>
      <c r="B570" s="28"/>
      <c r="C570" s="1"/>
      <c r="D570" s="18"/>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2">
      <c r="A571" s="28"/>
      <c r="B571" s="28"/>
      <c r="C571" s="1"/>
      <c r="D571" s="18"/>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2">
      <c r="A572" s="28"/>
      <c r="B572" s="28"/>
      <c r="C572" s="1"/>
      <c r="D572" s="18"/>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2">
      <c r="A573" s="28"/>
      <c r="B573" s="28"/>
      <c r="C573" s="1"/>
      <c r="D573" s="18"/>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2">
      <c r="A574" s="28"/>
      <c r="B574" s="28"/>
      <c r="C574" s="1"/>
      <c r="D574" s="18"/>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2">
      <c r="A575" s="28"/>
      <c r="B575" s="28"/>
      <c r="C575" s="1"/>
      <c r="D575" s="18"/>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2">
      <c r="A576" s="28"/>
      <c r="B576" s="28"/>
      <c r="C576" s="1"/>
      <c r="D576" s="18"/>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2">
      <c r="A577" s="28"/>
      <c r="B577" s="28"/>
      <c r="C577" s="1"/>
      <c r="D577" s="18"/>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2">
      <c r="A578" s="28"/>
      <c r="B578" s="28"/>
      <c r="C578" s="1"/>
      <c r="D578" s="18"/>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2">
      <c r="A579" s="28"/>
      <c r="B579" s="28"/>
      <c r="C579" s="1"/>
      <c r="D579" s="18"/>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2">
      <c r="A580" s="28"/>
      <c r="B580" s="28"/>
      <c r="C580" s="1"/>
      <c r="D580" s="18"/>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2">
      <c r="A581" s="28"/>
      <c r="B581" s="28"/>
      <c r="C581" s="1"/>
      <c r="D581" s="18"/>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2">
      <c r="A582" s="28"/>
      <c r="B582" s="28"/>
      <c r="C582" s="1"/>
      <c r="D582" s="18"/>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2">
      <c r="A583" s="28"/>
      <c r="B583" s="28"/>
      <c r="C583" s="1"/>
      <c r="D583" s="18"/>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2">
      <c r="A584" s="28"/>
      <c r="B584" s="28"/>
      <c r="C584" s="1"/>
      <c r="D584" s="18"/>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2">
      <c r="A585" s="28"/>
      <c r="B585" s="28"/>
      <c r="C585" s="1"/>
      <c r="D585" s="18"/>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2">
      <c r="A586" s="28"/>
      <c r="B586" s="28"/>
      <c r="C586" s="1"/>
      <c r="D586" s="18"/>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2">
      <c r="A587" s="28"/>
      <c r="B587" s="28"/>
      <c r="C587" s="1"/>
      <c r="D587" s="18"/>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2">
      <c r="A588" s="28"/>
      <c r="B588" s="28"/>
      <c r="C588" s="1"/>
      <c r="D588" s="18"/>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2">
      <c r="A589" s="28"/>
      <c r="B589" s="28"/>
      <c r="C589" s="1"/>
      <c r="D589" s="18"/>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2">
      <c r="A590" s="28"/>
      <c r="B590" s="28"/>
      <c r="C590" s="1"/>
      <c r="D590" s="18"/>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2">
      <c r="A591" s="28"/>
      <c r="B591" s="28"/>
      <c r="C591" s="1"/>
      <c r="D591" s="18"/>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2">
      <c r="A592" s="28"/>
      <c r="B592" s="28"/>
      <c r="C592" s="1"/>
      <c r="D592" s="18"/>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2">
      <c r="A593" s="28"/>
      <c r="B593" s="28"/>
      <c r="C593" s="1"/>
      <c r="D593" s="18"/>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2">
      <c r="A594" s="28"/>
      <c r="B594" s="28"/>
      <c r="C594" s="1"/>
      <c r="D594" s="18"/>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2">
      <c r="A595" s="28"/>
      <c r="B595" s="28"/>
      <c r="C595" s="1"/>
      <c r="D595" s="18"/>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2">
      <c r="A596" s="28"/>
      <c r="B596" s="28"/>
      <c r="C596" s="1"/>
      <c r="D596" s="18"/>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2">
      <c r="A597" s="28"/>
      <c r="B597" s="28"/>
      <c r="C597" s="1"/>
      <c r="D597" s="18"/>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2">
      <c r="A598" s="28"/>
      <c r="B598" s="28"/>
      <c r="C598" s="1"/>
      <c r="D598" s="18"/>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2">
      <c r="A599" s="28"/>
      <c r="B599" s="28"/>
      <c r="C599" s="1"/>
      <c r="D599" s="18"/>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2">
      <c r="A600" s="28"/>
      <c r="B600" s="28"/>
      <c r="C600" s="1"/>
      <c r="D600" s="18"/>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2">
      <c r="A601" s="28"/>
      <c r="B601" s="28"/>
      <c r="C601" s="1"/>
      <c r="D601" s="18"/>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2">
      <c r="A602" s="28"/>
      <c r="B602" s="28"/>
      <c r="C602" s="1"/>
      <c r="D602" s="18"/>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2">
      <c r="A603" s="28"/>
      <c r="B603" s="28"/>
      <c r="C603" s="1"/>
      <c r="D603" s="18"/>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2">
      <c r="A604" s="28"/>
      <c r="B604" s="28"/>
      <c r="C604" s="1"/>
      <c r="D604" s="18"/>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2">
      <c r="A605" s="28"/>
      <c r="B605" s="28"/>
      <c r="C605" s="1"/>
      <c r="D605" s="18"/>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2">
      <c r="A606" s="28"/>
      <c r="B606" s="28"/>
      <c r="C606" s="1"/>
      <c r="D606" s="18"/>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2">
      <c r="A607" s="28"/>
      <c r="B607" s="28"/>
      <c r="C607" s="1"/>
      <c r="D607" s="18"/>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2">
      <c r="A608" s="28"/>
      <c r="B608" s="28"/>
      <c r="C608" s="1"/>
      <c r="D608" s="18"/>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2">
      <c r="A609" s="28"/>
      <c r="B609" s="28"/>
      <c r="C609" s="1"/>
      <c r="D609" s="18"/>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2">
      <c r="A610" s="28"/>
      <c r="B610" s="28"/>
      <c r="C610" s="1"/>
      <c r="D610" s="18"/>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2">
      <c r="A611" s="28"/>
      <c r="B611" s="28"/>
      <c r="C611" s="1"/>
      <c r="D611" s="18"/>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2">
      <c r="A612" s="28"/>
      <c r="B612" s="28"/>
      <c r="C612" s="1"/>
      <c r="D612" s="18"/>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2">
      <c r="A613" s="28"/>
      <c r="B613" s="28"/>
      <c r="C613" s="1"/>
      <c r="D613" s="18"/>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2">
      <c r="A614" s="28"/>
      <c r="B614" s="28"/>
      <c r="C614" s="1"/>
      <c r="D614" s="18"/>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2">
      <c r="A615" s="28"/>
      <c r="B615" s="28"/>
      <c r="C615" s="1"/>
      <c r="D615" s="18"/>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2">
      <c r="A616" s="28"/>
      <c r="B616" s="28"/>
      <c r="C616" s="1"/>
      <c r="D616" s="18"/>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2">
      <c r="A617" s="28"/>
      <c r="B617" s="28"/>
      <c r="C617" s="1"/>
      <c r="D617" s="18"/>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2">
      <c r="A618" s="28"/>
      <c r="B618" s="28"/>
      <c r="C618" s="1"/>
      <c r="D618" s="18"/>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2">
      <c r="A619" s="28"/>
      <c r="B619" s="28"/>
      <c r="C619" s="1"/>
      <c r="D619" s="18"/>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2">
      <c r="A620" s="28"/>
      <c r="B620" s="28"/>
      <c r="C620" s="1"/>
      <c r="D620" s="18"/>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2">
      <c r="A621" s="28"/>
      <c r="B621" s="28"/>
      <c r="C621" s="1"/>
      <c r="D621" s="18"/>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2">
      <c r="A622" s="28"/>
      <c r="B622" s="28"/>
      <c r="C622" s="1"/>
      <c r="D622" s="18"/>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2">
      <c r="A623" s="28"/>
      <c r="B623" s="28"/>
      <c r="C623" s="1"/>
      <c r="D623" s="18"/>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2">
      <c r="A624" s="28"/>
      <c r="B624" s="28"/>
      <c r="C624" s="1"/>
      <c r="D624" s="18"/>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2">
      <c r="A625" s="28"/>
      <c r="B625" s="28"/>
      <c r="C625" s="1"/>
      <c r="D625" s="18"/>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2">
      <c r="A626" s="28"/>
      <c r="B626" s="28"/>
      <c r="C626" s="1"/>
      <c r="D626" s="18"/>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2">
      <c r="A627" s="28"/>
      <c r="B627" s="28"/>
      <c r="C627" s="1"/>
      <c r="D627" s="18"/>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2">
      <c r="A628" s="28"/>
      <c r="B628" s="28"/>
      <c r="C628" s="1"/>
      <c r="D628" s="18"/>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2">
      <c r="A629" s="28"/>
      <c r="B629" s="28"/>
      <c r="C629" s="1"/>
      <c r="D629" s="18"/>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2">
      <c r="A630" s="28"/>
      <c r="B630" s="28"/>
      <c r="C630" s="1"/>
      <c r="D630" s="18"/>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2">
      <c r="A631" s="28"/>
      <c r="B631" s="28"/>
      <c r="C631" s="1"/>
      <c r="D631" s="18"/>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2">
      <c r="A632" s="28"/>
      <c r="B632" s="28"/>
      <c r="C632" s="1"/>
      <c r="D632" s="18"/>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2">
      <c r="A633" s="28"/>
      <c r="B633" s="28"/>
      <c r="C633" s="1"/>
      <c r="D633" s="18"/>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2">
      <c r="A634" s="28"/>
      <c r="B634" s="28"/>
      <c r="C634" s="1"/>
      <c r="D634" s="18"/>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2">
      <c r="A635" s="28"/>
      <c r="B635" s="28"/>
      <c r="C635" s="1"/>
      <c r="D635" s="18"/>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2">
      <c r="A636" s="28"/>
      <c r="B636" s="28"/>
      <c r="C636" s="1"/>
      <c r="D636" s="18"/>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2">
      <c r="A637" s="28"/>
      <c r="B637" s="28"/>
      <c r="C637" s="1"/>
      <c r="D637" s="18"/>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2">
      <c r="A638" s="28"/>
      <c r="B638" s="28"/>
      <c r="C638" s="1"/>
      <c r="D638" s="18"/>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2">
      <c r="A639" s="28"/>
      <c r="B639" s="28"/>
      <c r="C639" s="1"/>
      <c r="D639" s="18"/>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2">
      <c r="A640" s="28"/>
      <c r="B640" s="28"/>
      <c r="C640" s="1"/>
      <c r="D640" s="18"/>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2">
      <c r="A641" s="28"/>
      <c r="B641" s="28"/>
      <c r="C641" s="1"/>
      <c r="D641" s="18"/>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2">
      <c r="A642" s="28"/>
      <c r="B642" s="28"/>
      <c r="C642" s="1"/>
      <c r="D642" s="18"/>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2">
      <c r="A643" s="28"/>
      <c r="B643" s="28"/>
      <c r="C643" s="1"/>
      <c r="D643" s="18"/>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2">
      <c r="A644" s="28"/>
      <c r="B644" s="28"/>
      <c r="C644" s="1"/>
      <c r="D644" s="18"/>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2">
      <c r="A645" s="28"/>
      <c r="B645" s="28"/>
      <c r="C645" s="1"/>
      <c r="D645" s="18"/>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2">
      <c r="A646" s="28"/>
      <c r="B646" s="28"/>
      <c r="C646" s="1"/>
      <c r="D646" s="18"/>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2">
      <c r="A647" s="28"/>
      <c r="B647" s="28"/>
      <c r="C647" s="1"/>
      <c r="D647" s="18"/>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2">
      <c r="A648" s="28"/>
      <c r="B648" s="28"/>
      <c r="C648" s="1"/>
      <c r="D648" s="18"/>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2">
      <c r="A649" s="28"/>
      <c r="B649" s="28"/>
      <c r="C649" s="1"/>
      <c r="D649" s="18"/>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2">
      <c r="A650" s="28"/>
      <c r="B650" s="28"/>
      <c r="C650" s="1"/>
      <c r="D650" s="18"/>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2">
      <c r="A651" s="28"/>
      <c r="B651" s="28"/>
      <c r="C651" s="1"/>
      <c r="D651" s="18"/>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2">
      <c r="A652" s="28"/>
      <c r="B652" s="28"/>
      <c r="C652" s="1"/>
      <c r="D652" s="18"/>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2">
      <c r="A653" s="28"/>
      <c r="B653" s="28"/>
      <c r="C653" s="1"/>
      <c r="D653" s="18"/>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2">
      <c r="A654" s="28"/>
      <c r="B654" s="28"/>
      <c r="C654" s="1"/>
      <c r="D654" s="18"/>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2">
      <c r="A655" s="28"/>
      <c r="B655" s="28"/>
      <c r="C655" s="1"/>
      <c r="D655" s="18"/>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2">
      <c r="A656" s="28"/>
      <c r="B656" s="28"/>
      <c r="C656" s="1"/>
      <c r="D656" s="18"/>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2">
      <c r="A657" s="28"/>
      <c r="B657" s="28"/>
      <c r="C657" s="1"/>
      <c r="D657" s="18"/>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2">
      <c r="A658" s="28"/>
      <c r="B658" s="28"/>
      <c r="C658" s="1"/>
      <c r="D658" s="18"/>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2">
      <c r="A659" s="28"/>
      <c r="B659" s="28"/>
      <c r="C659" s="1"/>
      <c r="D659" s="18"/>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2">
      <c r="A660" s="28"/>
      <c r="B660" s="28"/>
      <c r="C660" s="1"/>
      <c r="D660" s="18"/>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2">
      <c r="A661" s="28"/>
      <c r="B661" s="28"/>
      <c r="C661" s="1"/>
      <c r="D661" s="18"/>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2">
      <c r="A662" s="28"/>
      <c r="B662" s="28"/>
      <c r="C662" s="1"/>
      <c r="D662" s="18"/>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2">
      <c r="A663" s="28"/>
      <c r="B663" s="28"/>
      <c r="C663" s="1"/>
      <c r="D663" s="18"/>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2">
      <c r="A664" s="28"/>
      <c r="B664" s="28"/>
      <c r="C664" s="1"/>
      <c r="D664" s="18"/>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2">
      <c r="A665" s="28"/>
      <c r="B665" s="28"/>
      <c r="C665" s="1"/>
      <c r="D665" s="18"/>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2">
      <c r="A666" s="28"/>
      <c r="B666" s="28"/>
      <c r="C666" s="1"/>
      <c r="D666" s="18"/>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2">
      <c r="A667" s="28"/>
      <c r="B667" s="28"/>
      <c r="C667" s="1"/>
      <c r="D667" s="18"/>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2">
      <c r="A668" s="28"/>
      <c r="B668" s="28"/>
      <c r="C668" s="1"/>
      <c r="D668" s="18"/>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2">
      <c r="A669" s="28"/>
      <c r="B669" s="28"/>
      <c r="C669" s="1"/>
      <c r="D669" s="18"/>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2">
      <c r="A670" s="28"/>
      <c r="B670" s="28"/>
      <c r="C670" s="1"/>
      <c r="D670" s="18"/>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2">
      <c r="A671" s="28"/>
      <c r="B671" s="28"/>
      <c r="C671" s="1"/>
      <c r="D671" s="18"/>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2">
      <c r="A672" s="28"/>
      <c r="B672" s="28"/>
      <c r="C672" s="1"/>
      <c r="D672" s="18"/>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2">
      <c r="A673" s="28"/>
      <c r="B673" s="28"/>
      <c r="C673" s="1"/>
      <c r="D673" s="18"/>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2">
      <c r="A674" s="28"/>
      <c r="B674" s="28"/>
      <c r="C674" s="1"/>
      <c r="D674" s="18"/>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2">
      <c r="A675" s="28"/>
      <c r="B675" s="28"/>
      <c r="C675" s="1"/>
      <c r="D675" s="18"/>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2">
      <c r="A676" s="28"/>
      <c r="B676" s="28"/>
      <c r="C676" s="1"/>
      <c r="D676" s="18"/>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2">
      <c r="A677" s="28"/>
      <c r="B677" s="28"/>
      <c r="C677" s="1"/>
      <c r="D677" s="18"/>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2">
      <c r="A678" s="28"/>
      <c r="B678" s="28"/>
      <c r="C678" s="1"/>
      <c r="D678" s="18"/>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2">
      <c r="A679" s="28"/>
      <c r="B679" s="28"/>
      <c r="C679" s="1"/>
      <c r="D679" s="18"/>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2">
      <c r="A680" s="28"/>
      <c r="B680" s="28"/>
      <c r="C680" s="1"/>
      <c r="D680" s="18"/>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2">
      <c r="A681" s="28"/>
      <c r="B681" s="28"/>
      <c r="C681" s="1"/>
      <c r="D681" s="18"/>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2">
      <c r="A682" s="28"/>
      <c r="B682" s="28"/>
      <c r="C682" s="1"/>
      <c r="D682" s="18"/>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2">
      <c r="A683" s="28"/>
      <c r="B683" s="28"/>
      <c r="C683" s="1"/>
      <c r="D683" s="18"/>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2">
      <c r="A684" s="28"/>
      <c r="B684" s="28"/>
      <c r="C684" s="1"/>
      <c r="D684" s="18"/>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2">
      <c r="A685" s="28"/>
      <c r="B685" s="28"/>
      <c r="C685" s="1"/>
      <c r="D685" s="18"/>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2">
      <c r="A686" s="28"/>
      <c r="B686" s="28"/>
      <c r="C686" s="1"/>
      <c r="D686" s="18"/>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2">
      <c r="A687" s="28"/>
      <c r="B687" s="28"/>
      <c r="C687" s="1"/>
      <c r="D687" s="18"/>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2">
      <c r="A688" s="28"/>
      <c r="B688" s="28"/>
      <c r="C688" s="1"/>
      <c r="D688" s="18"/>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2">
      <c r="A689" s="28"/>
      <c r="B689" s="28"/>
      <c r="C689" s="1"/>
      <c r="D689" s="18"/>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2">
      <c r="A690" s="28"/>
      <c r="B690" s="28"/>
      <c r="C690" s="1"/>
      <c r="D690" s="18"/>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2">
      <c r="A691" s="28"/>
      <c r="B691" s="28"/>
      <c r="C691" s="1"/>
      <c r="D691" s="18"/>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2">
      <c r="A692" s="28"/>
      <c r="B692" s="28"/>
      <c r="C692" s="1"/>
      <c r="D692" s="18"/>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2">
      <c r="A693" s="28"/>
      <c r="B693" s="28"/>
      <c r="C693" s="1"/>
      <c r="D693" s="18"/>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2">
      <c r="A694" s="28"/>
      <c r="B694" s="28"/>
      <c r="C694" s="1"/>
      <c r="D694" s="18"/>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2">
      <c r="A695" s="28"/>
      <c r="B695" s="28"/>
      <c r="C695" s="1"/>
      <c r="D695" s="18"/>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2">
      <c r="A696" s="28"/>
      <c r="B696" s="28"/>
      <c r="C696" s="1"/>
      <c r="D696" s="18"/>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2">
      <c r="A697" s="28"/>
      <c r="B697" s="28"/>
      <c r="C697" s="1"/>
      <c r="D697" s="18"/>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2">
      <c r="A698" s="28"/>
      <c r="B698" s="28"/>
      <c r="C698" s="1"/>
      <c r="D698" s="18"/>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2">
      <c r="A699" s="28"/>
      <c r="B699" s="28"/>
      <c r="C699" s="1"/>
      <c r="D699" s="18"/>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2">
      <c r="A700" s="28"/>
      <c r="B700" s="28"/>
      <c r="C700" s="1"/>
      <c r="D700" s="18"/>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2">
      <c r="A701" s="28"/>
      <c r="B701" s="28"/>
      <c r="C701" s="1"/>
      <c r="D701" s="18"/>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2">
      <c r="A702" s="28"/>
      <c r="B702" s="28"/>
      <c r="C702" s="1"/>
      <c r="D702" s="18"/>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2">
      <c r="A703" s="28"/>
      <c r="B703" s="28"/>
      <c r="C703" s="1"/>
      <c r="D703" s="18"/>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2">
      <c r="A704" s="28"/>
      <c r="B704" s="28"/>
      <c r="C704" s="1"/>
      <c r="D704" s="18"/>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2">
      <c r="A705" s="28"/>
      <c r="B705" s="28"/>
      <c r="C705" s="1"/>
      <c r="D705" s="18"/>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2">
      <c r="A706" s="28"/>
      <c r="B706" s="28"/>
      <c r="C706" s="1"/>
      <c r="D706" s="18"/>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2">
      <c r="A707" s="28"/>
      <c r="B707" s="28"/>
      <c r="C707" s="1"/>
      <c r="D707" s="18"/>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2">
      <c r="A708" s="28"/>
      <c r="B708" s="28"/>
      <c r="C708" s="1"/>
      <c r="D708" s="18"/>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2">
      <c r="A709" s="28"/>
      <c r="B709" s="28"/>
      <c r="C709" s="1"/>
      <c r="D709" s="18"/>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2">
      <c r="A710" s="28"/>
      <c r="B710" s="28"/>
      <c r="C710" s="1"/>
      <c r="D710" s="18"/>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2">
      <c r="A711" s="28"/>
      <c r="B711" s="28"/>
      <c r="C711" s="1"/>
      <c r="D711" s="18"/>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2">
      <c r="A712" s="28"/>
      <c r="B712" s="28"/>
      <c r="C712" s="1"/>
      <c r="D712" s="18"/>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2">
      <c r="A713" s="28"/>
      <c r="B713" s="28"/>
      <c r="C713" s="1"/>
      <c r="D713" s="18"/>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2">
      <c r="A714" s="28"/>
      <c r="B714" s="28"/>
      <c r="C714" s="1"/>
      <c r="D714" s="18"/>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2">
      <c r="A715" s="28"/>
      <c r="B715" s="28"/>
      <c r="C715" s="1"/>
      <c r="D715" s="18"/>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2">
      <c r="A716" s="28"/>
      <c r="B716" s="28"/>
      <c r="C716" s="1"/>
      <c r="D716" s="18"/>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2">
      <c r="A717" s="28"/>
      <c r="B717" s="28"/>
      <c r="C717" s="1"/>
      <c r="D717" s="18"/>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2">
      <c r="A718" s="28"/>
      <c r="B718" s="28"/>
      <c r="C718" s="1"/>
      <c r="D718" s="18"/>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2">
      <c r="A719" s="28"/>
      <c r="B719" s="28"/>
      <c r="C719" s="1"/>
      <c r="D719" s="18"/>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2">
      <c r="A720" s="28"/>
      <c r="B720" s="28"/>
      <c r="C720" s="1"/>
      <c r="D720" s="18"/>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2">
      <c r="A721" s="28"/>
      <c r="B721" s="28"/>
      <c r="C721" s="1"/>
      <c r="D721" s="18"/>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2">
      <c r="A722" s="28"/>
      <c r="B722" s="28"/>
      <c r="C722" s="1"/>
      <c r="D722" s="18"/>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2">
      <c r="A723" s="28"/>
      <c r="B723" s="28"/>
      <c r="C723" s="1"/>
      <c r="D723" s="18"/>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2">
      <c r="A724" s="28"/>
      <c r="B724" s="28"/>
      <c r="C724" s="1"/>
      <c r="D724" s="18"/>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2">
      <c r="A725" s="28"/>
      <c r="B725" s="28"/>
      <c r="C725" s="1"/>
      <c r="D725" s="18"/>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2">
      <c r="A726" s="28"/>
      <c r="B726" s="28"/>
      <c r="C726" s="1"/>
      <c r="D726" s="18"/>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2">
      <c r="A727" s="28"/>
      <c r="B727" s="28"/>
      <c r="C727" s="1"/>
      <c r="D727" s="18"/>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2">
      <c r="A728" s="28"/>
      <c r="B728" s="28"/>
      <c r="C728" s="1"/>
      <c r="D728" s="18"/>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2">
      <c r="A729" s="28"/>
      <c r="B729" s="28"/>
      <c r="C729" s="1"/>
      <c r="D729" s="18"/>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2">
      <c r="A730" s="28"/>
      <c r="B730" s="28"/>
      <c r="C730" s="1"/>
      <c r="D730" s="18"/>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2">
      <c r="A731" s="28"/>
      <c r="B731" s="28"/>
      <c r="C731" s="1"/>
      <c r="D731" s="18"/>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2">
      <c r="A732" s="28"/>
      <c r="B732" s="28"/>
      <c r="C732" s="1"/>
      <c r="D732" s="18"/>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2">
      <c r="A733" s="28"/>
      <c r="B733" s="28"/>
      <c r="C733" s="1"/>
      <c r="D733" s="18"/>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2">
      <c r="A734" s="28"/>
      <c r="B734" s="28"/>
      <c r="C734" s="1"/>
      <c r="D734" s="18"/>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2">
      <c r="A735" s="28"/>
      <c r="B735" s="28"/>
      <c r="C735" s="1"/>
      <c r="D735" s="18"/>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2">
      <c r="A736" s="28"/>
      <c r="B736" s="28"/>
      <c r="C736" s="1"/>
      <c r="D736" s="18"/>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2">
      <c r="A737" s="28"/>
      <c r="B737" s="28"/>
      <c r="C737" s="1"/>
      <c r="D737" s="18"/>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2">
      <c r="A738" s="28"/>
      <c r="B738" s="28"/>
      <c r="C738" s="1"/>
      <c r="D738" s="18"/>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2">
      <c r="A739" s="28"/>
      <c r="B739" s="28"/>
      <c r="C739" s="1"/>
      <c r="D739" s="18"/>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2">
      <c r="A740" s="28"/>
      <c r="B740" s="28"/>
      <c r="C740" s="1"/>
      <c r="D740" s="18"/>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2">
      <c r="A741" s="28"/>
      <c r="B741" s="28"/>
      <c r="C741" s="1"/>
      <c r="D741" s="18"/>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2">
      <c r="A742" s="28"/>
      <c r="B742" s="28"/>
      <c r="C742" s="1"/>
      <c r="D742" s="18"/>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2">
      <c r="A743" s="28"/>
      <c r="B743" s="28"/>
      <c r="C743" s="1"/>
      <c r="D743" s="18"/>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2">
      <c r="A744" s="28"/>
      <c r="B744" s="28"/>
      <c r="C744" s="1"/>
      <c r="D744" s="18"/>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2">
      <c r="A745" s="28"/>
      <c r="B745" s="28"/>
      <c r="C745" s="1"/>
      <c r="D745" s="18"/>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2">
      <c r="A746" s="28"/>
      <c r="B746" s="28"/>
      <c r="C746" s="1"/>
      <c r="D746" s="18"/>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2">
      <c r="A747" s="28"/>
      <c r="B747" s="28"/>
      <c r="C747" s="1"/>
      <c r="D747" s="18"/>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2">
      <c r="A748" s="28"/>
      <c r="B748" s="28"/>
      <c r="C748" s="1"/>
      <c r="D748" s="18"/>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2">
      <c r="A749" s="28"/>
      <c r="B749" s="28"/>
      <c r="C749" s="1"/>
      <c r="D749" s="18"/>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2">
      <c r="A750" s="28"/>
      <c r="B750" s="28"/>
      <c r="C750" s="1"/>
      <c r="D750" s="18"/>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2">
      <c r="A751" s="28"/>
      <c r="B751" s="28"/>
      <c r="C751" s="1"/>
      <c r="D751" s="18"/>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2">
      <c r="A752" s="28"/>
      <c r="B752" s="28"/>
      <c r="C752" s="1"/>
      <c r="D752" s="18"/>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2">
      <c r="A753" s="28"/>
      <c r="B753" s="28"/>
      <c r="C753" s="1"/>
      <c r="D753" s="18"/>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2">
      <c r="A754" s="28"/>
      <c r="B754" s="28"/>
      <c r="C754" s="1"/>
      <c r="D754" s="18"/>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2">
      <c r="A755" s="28"/>
      <c r="B755" s="28"/>
      <c r="C755" s="1"/>
      <c r="D755" s="18"/>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2">
      <c r="A756" s="28"/>
      <c r="B756" s="28"/>
      <c r="C756" s="1"/>
      <c r="D756" s="18"/>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2">
      <c r="A757" s="28"/>
      <c r="B757" s="28"/>
      <c r="C757" s="1"/>
      <c r="D757" s="18"/>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2">
      <c r="A758" s="28"/>
      <c r="B758" s="28"/>
      <c r="C758" s="1"/>
      <c r="D758" s="18"/>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2">
      <c r="A759" s="28"/>
      <c r="B759" s="28"/>
      <c r="C759" s="1"/>
      <c r="D759" s="18"/>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2">
      <c r="A760" s="28"/>
      <c r="B760" s="28"/>
      <c r="C760" s="1"/>
      <c r="D760" s="18"/>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2">
      <c r="A761" s="28"/>
      <c r="B761" s="28"/>
      <c r="C761" s="1"/>
      <c r="D761" s="18"/>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2">
      <c r="A762" s="28"/>
      <c r="B762" s="28"/>
      <c r="C762" s="1"/>
      <c r="D762" s="18"/>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2">
      <c r="A763" s="28"/>
      <c r="B763" s="28"/>
      <c r="C763" s="1"/>
      <c r="D763" s="18"/>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2">
      <c r="A764" s="28"/>
      <c r="B764" s="28"/>
      <c r="C764" s="1"/>
      <c r="D764" s="18"/>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2">
      <c r="A765" s="28"/>
      <c r="B765" s="28"/>
      <c r="C765" s="1"/>
      <c r="D765" s="18"/>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2">
      <c r="A766" s="28"/>
      <c r="B766" s="28"/>
      <c r="C766" s="1"/>
      <c r="D766" s="18"/>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2">
      <c r="A767" s="28"/>
      <c r="B767" s="28"/>
      <c r="C767" s="1"/>
      <c r="D767" s="18"/>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2">
      <c r="A768" s="28"/>
      <c r="B768" s="28"/>
      <c r="C768" s="1"/>
      <c r="D768" s="18"/>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2">
      <c r="A769" s="28"/>
      <c r="B769" s="28"/>
      <c r="C769" s="1"/>
      <c r="D769" s="18"/>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2">
      <c r="A770" s="28"/>
      <c r="B770" s="28"/>
      <c r="C770" s="1"/>
      <c r="D770" s="18"/>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2">
      <c r="A771" s="28"/>
      <c r="B771" s="28"/>
      <c r="C771" s="1"/>
      <c r="D771" s="18"/>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2">
      <c r="A772" s="28"/>
      <c r="B772" s="28"/>
      <c r="C772" s="1"/>
      <c r="D772" s="18"/>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2">
      <c r="A773" s="28"/>
      <c r="B773" s="28"/>
      <c r="C773" s="1"/>
      <c r="D773" s="18"/>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2">
      <c r="A774" s="28"/>
      <c r="B774" s="28"/>
      <c r="C774" s="1"/>
      <c r="D774" s="18"/>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2">
      <c r="A775" s="28"/>
      <c r="B775" s="28"/>
      <c r="C775" s="1"/>
      <c r="D775" s="18"/>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2">
      <c r="A776" s="28"/>
      <c r="B776" s="28"/>
      <c r="C776" s="1"/>
      <c r="D776" s="18"/>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2">
      <c r="A777" s="28"/>
      <c r="B777" s="28"/>
      <c r="C777" s="1"/>
      <c r="D777" s="18"/>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2">
      <c r="A778" s="28"/>
      <c r="B778" s="28"/>
      <c r="C778" s="1"/>
      <c r="D778" s="18"/>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2">
      <c r="A779" s="28"/>
      <c r="B779" s="28"/>
      <c r="C779" s="1"/>
      <c r="D779" s="18"/>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2">
      <c r="A780" s="28"/>
      <c r="B780" s="28"/>
      <c r="C780" s="1"/>
      <c r="D780" s="18"/>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2">
      <c r="A781" s="28"/>
      <c r="B781" s="28"/>
      <c r="C781" s="1"/>
      <c r="D781" s="18"/>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2">
      <c r="A782" s="28"/>
      <c r="B782" s="28"/>
      <c r="C782" s="1"/>
      <c r="D782" s="18"/>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2">
      <c r="A783" s="28"/>
      <c r="B783" s="28"/>
      <c r="C783" s="1"/>
      <c r="D783" s="18"/>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2">
      <c r="A784" s="28"/>
      <c r="B784" s="28"/>
      <c r="C784" s="1"/>
      <c r="D784" s="18"/>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2">
      <c r="A785" s="28"/>
      <c r="B785" s="28"/>
      <c r="C785" s="1"/>
      <c r="D785" s="18"/>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2">
      <c r="A786" s="28"/>
      <c r="B786" s="28"/>
      <c r="C786" s="1"/>
      <c r="D786" s="18"/>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2">
      <c r="A787" s="28"/>
      <c r="B787" s="28"/>
      <c r="C787" s="1"/>
      <c r="D787" s="18"/>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2">
      <c r="A788" s="28"/>
      <c r="B788" s="28"/>
      <c r="C788" s="1"/>
      <c r="D788" s="18"/>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2">
      <c r="A789" s="28"/>
      <c r="B789" s="28"/>
      <c r="C789" s="1"/>
      <c r="D789" s="18"/>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2">
      <c r="A790" s="28"/>
      <c r="B790" s="28"/>
      <c r="C790" s="1"/>
      <c r="D790" s="18"/>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2">
      <c r="A791" s="28"/>
      <c r="B791" s="28"/>
      <c r="C791" s="1"/>
      <c r="D791" s="18"/>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2">
      <c r="A792" s="28"/>
      <c r="B792" s="28"/>
      <c r="C792" s="1"/>
      <c r="D792" s="18"/>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2">
      <c r="A793" s="28"/>
      <c r="B793" s="28"/>
      <c r="C793" s="1"/>
      <c r="D793" s="18"/>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2">
      <c r="A794" s="28"/>
      <c r="B794" s="28"/>
      <c r="C794" s="1"/>
      <c r="D794" s="18"/>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2">
      <c r="A795" s="28"/>
      <c r="B795" s="28"/>
      <c r="C795" s="1"/>
      <c r="D795" s="18"/>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2">
      <c r="A796" s="28"/>
      <c r="B796" s="28"/>
      <c r="C796" s="1"/>
      <c r="D796" s="18"/>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2">
      <c r="A797" s="28"/>
      <c r="B797" s="28"/>
      <c r="C797" s="1"/>
      <c r="D797" s="18"/>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2">
      <c r="A798" s="28"/>
      <c r="B798" s="28"/>
      <c r="C798" s="1"/>
      <c r="D798" s="18"/>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2">
      <c r="A799" s="28"/>
      <c r="B799" s="28"/>
      <c r="C799" s="1"/>
      <c r="D799" s="18"/>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2">
      <c r="A800" s="28"/>
      <c r="B800" s="28"/>
      <c r="C800" s="1"/>
      <c r="D800" s="18"/>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2">
      <c r="A801" s="28"/>
      <c r="B801" s="28"/>
      <c r="C801" s="1"/>
      <c r="D801" s="18"/>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2">
      <c r="A802" s="28"/>
      <c r="B802" s="28"/>
      <c r="C802" s="1"/>
      <c r="D802" s="18"/>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2">
      <c r="A803" s="28"/>
      <c r="B803" s="28"/>
      <c r="C803" s="1"/>
      <c r="D803" s="18"/>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2">
      <c r="A804" s="28"/>
      <c r="B804" s="28"/>
      <c r="C804" s="1"/>
      <c r="D804" s="18"/>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2">
      <c r="A805" s="28"/>
      <c r="B805" s="28"/>
      <c r="C805" s="1"/>
      <c r="D805" s="18"/>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2">
      <c r="A806" s="28"/>
      <c r="B806" s="28"/>
      <c r="C806" s="1"/>
      <c r="D806" s="18"/>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2">
      <c r="A807" s="28"/>
      <c r="B807" s="28"/>
      <c r="C807" s="1"/>
      <c r="D807" s="18"/>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2">
      <c r="A808" s="28"/>
      <c r="B808" s="28"/>
      <c r="C808" s="1"/>
      <c r="D808" s="18"/>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2">
      <c r="A809" s="28"/>
      <c r="B809" s="28"/>
      <c r="C809" s="1"/>
      <c r="D809" s="18"/>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2">
      <c r="A810" s="28"/>
      <c r="B810" s="28"/>
      <c r="C810" s="1"/>
      <c r="D810" s="18"/>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2">
      <c r="A811" s="28"/>
      <c r="B811" s="28"/>
      <c r="C811" s="1"/>
      <c r="D811" s="18"/>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2">
      <c r="A812" s="28"/>
      <c r="B812" s="28"/>
      <c r="C812" s="1"/>
      <c r="D812" s="18"/>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2">
      <c r="A813" s="28"/>
      <c r="B813" s="28"/>
      <c r="C813" s="1"/>
      <c r="D813" s="18"/>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2">
      <c r="A814" s="28"/>
      <c r="B814" s="28"/>
      <c r="C814" s="1"/>
      <c r="D814" s="18"/>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2">
      <c r="A815" s="28"/>
      <c r="B815" s="28"/>
      <c r="C815" s="1"/>
      <c r="D815" s="18"/>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2">
      <c r="A816" s="28"/>
      <c r="B816" s="28"/>
      <c r="C816" s="1"/>
      <c r="D816" s="18"/>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2">
      <c r="A817" s="28"/>
      <c r="B817" s="28"/>
      <c r="C817" s="1"/>
      <c r="D817" s="18"/>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2">
      <c r="A818" s="28"/>
      <c r="B818" s="28"/>
      <c r="C818" s="1"/>
      <c r="D818" s="18"/>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2">
      <c r="A819" s="28"/>
      <c r="B819" s="28"/>
      <c r="C819" s="1"/>
      <c r="D819" s="18"/>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2">
      <c r="A820" s="28"/>
      <c r="B820" s="28"/>
      <c r="C820" s="1"/>
      <c r="D820" s="18"/>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2">
      <c r="A821" s="28"/>
      <c r="B821" s="28"/>
      <c r="C821" s="1"/>
      <c r="D821" s="18"/>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2">
      <c r="A822" s="28"/>
      <c r="B822" s="28"/>
      <c r="C822" s="1"/>
      <c r="D822" s="18"/>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2">
      <c r="A823" s="28"/>
      <c r="B823" s="28"/>
      <c r="C823" s="1"/>
      <c r="D823" s="18"/>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2">
      <c r="A824" s="28"/>
      <c r="B824" s="28"/>
      <c r="C824" s="1"/>
      <c r="D824" s="18"/>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2">
      <c r="A825" s="28"/>
      <c r="B825" s="28"/>
      <c r="C825" s="1"/>
      <c r="D825" s="18"/>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2">
      <c r="A826" s="28"/>
      <c r="B826" s="28"/>
      <c r="C826" s="1"/>
      <c r="D826" s="18"/>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2">
      <c r="A827" s="28"/>
      <c r="B827" s="28"/>
      <c r="C827" s="1"/>
      <c r="D827" s="18"/>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2">
      <c r="A828" s="28"/>
      <c r="B828" s="28"/>
      <c r="C828" s="1"/>
      <c r="D828" s="18"/>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2">
      <c r="A829" s="28"/>
      <c r="B829" s="28"/>
      <c r="C829" s="1"/>
      <c r="D829" s="18"/>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2">
      <c r="A830" s="28"/>
      <c r="B830" s="28"/>
      <c r="C830" s="1"/>
      <c r="D830" s="18"/>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2">
      <c r="A831" s="28"/>
      <c r="B831" s="28"/>
      <c r="C831" s="1"/>
      <c r="D831" s="18"/>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2">
      <c r="A832" s="28"/>
      <c r="B832" s="28"/>
      <c r="C832" s="1"/>
      <c r="D832" s="18"/>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2">
      <c r="A833" s="28"/>
      <c r="B833" s="28"/>
      <c r="C833" s="1"/>
      <c r="D833" s="18"/>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2">
      <c r="A834" s="28"/>
      <c r="B834" s="28"/>
      <c r="C834" s="1"/>
      <c r="D834" s="18"/>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2">
      <c r="A835" s="28"/>
      <c r="B835" s="28"/>
      <c r="C835" s="1"/>
      <c r="D835" s="18"/>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2">
      <c r="A836" s="28"/>
      <c r="B836" s="28"/>
      <c r="C836" s="1"/>
      <c r="D836" s="18"/>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2">
      <c r="A837" s="28"/>
      <c r="B837" s="28"/>
      <c r="C837" s="1"/>
      <c r="D837" s="18"/>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2">
      <c r="A838" s="28"/>
      <c r="B838" s="28"/>
      <c r="C838" s="1"/>
      <c r="D838" s="18"/>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2">
      <c r="A839" s="28"/>
      <c r="B839" s="28"/>
      <c r="C839" s="1"/>
      <c r="D839" s="18"/>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2">
      <c r="A840" s="28"/>
      <c r="B840" s="28"/>
      <c r="C840" s="1"/>
      <c r="D840" s="18"/>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2">
      <c r="A841" s="28"/>
      <c r="B841" s="28"/>
      <c r="C841" s="1"/>
      <c r="D841" s="18"/>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2">
      <c r="A842" s="28"/>
      <c r="B842" s="28"/>
      <c r="C842" s="1"/>
      <c r="D842" s="18"/>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2">
      <c r="A843" s="28"/>
      <c r="B843" s="28"/>
      <c r="C843" s="1"/>
      <c r="D843" s="18"/>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2">
      <c r="A844" s="28"/>
      <c r="B844" s="28"/>
      <c r="C844" s="1"/>
      <c r="D844" s="18"/>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2">
      <c r="A845" s="28"/>
      <c r="B845" s="28"/>
      <c r="C845" s="1"/>
      <c r="D845" s="18"/>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2">
      <c r="A846" s="28"/>
      <c r="B846" s="28"/>
      <c r="C846" s="1"/>
      <c r="D846" s="18"/>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2">
      <c r="A847" s="28"/>
      <c r="B847" s="28"/>
      <c r="C847" s="1"/>
      <c r="D847" s="18"/>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2">
      <c r="A848" s="28"/>
      <c r="B848" s="28"/>
      <c r="C848" s="1"/>
      <c r="D848" s="18"/>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2">
      <c r="A849" s="28"/>
      <c r="B849" s="28"/>
      <c r="C849" s="1"/>
      <c r="D849" s="18"/>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2">
      <c r="A850" s="28"/>
      <c r="B850" s="28"/>
      <c r="C850" s="1"/>
      <c r="D850" s="18"/>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2">
      <c r="A851" s="28"/>
      <c r="B851" s="28"/>
      <c r="C851" s="1"/>
      <c r="D851" s="18"/>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2">
      <c r="A852" s="28"/>
      <c r="B852" s="28"/>
      <c r="C852" s="1"/>
      <c r="D852" s="18"/>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2">
      <c r="A853" s="28"/>
      <c r="B853" s="28"/>
      <c r="C853" s="1"/>
      <c r="D853" s="18"/>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2">
      <c r="A854" s="28"/>
      <c r="B854" s="28"/>
      <c r="C854" s="1"/>
      <c r="D854" s="18"/>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2">
      <c r="A855" s="28"/>
      <c r="B855" s="28"/>
      <c r="C855" s="1"/>
      <c r="D855" s="18"/>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2">
      <c r="A856" s="28"/>
      <c r="B856" s="28"/>
      <c r="C856" s="1"/>
      <c r="D856" s="18"/>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2">
      <c r="A857" s="28"/>
      <c r="B857" s="28"/>
      <c r="C857" s="1"/>
      <c r="D857" s="18"/>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2">
      <c r="A858" s="28"/>
      <c r="B858" s="28"/>
      <c r="C858" s="1"/>
      <c r="D858" s="18"/>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2">
      <c r="A859" s="28"/>
      <c r="B859" s="28"/>
      <c r="C859" s="1"/>
      <c r="D859" s="18"/>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2">
      <c r="A860" s="28"/>
      <c r="B860" s="28"/>
      <c r="C860" s="1"/>
      <c r="D860" s="18"/>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2">
      <c r="A861" s="28"/>
      <c r="B861" s="28"/>
      <c r="C861" s="1"/>
      <c r="D861" s="18"/>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2">
      <c r="A862" s="28"/>
      <c r="B862" s="28"/>
      <c r="C862" s="1"/>
      <c r="D862" s="18"/>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2">
      <c r="A863" s="28"/>
      <c r="B863" s="28"/>
      <c r="C863" s="1"/>
      <c r="D863" s="18"/>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2">
      <c r="A864" s="28"/>
      <c r="B864" s="28"/>
      <c r="C864" s="1"/>
      <c r="D864" s="18"/>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2">
      <c r="A865" s="28"/>
      <c r="B865" s="28"/>
      <c r="C865" s="1"/>
      <c r="D865" s="18"/>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2">
      <c r="A866" s="28"/>
      <c r="B866" s="28"/>
      <c r="C866" s="1"/>
      <c r="D866" s="18"/>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2">
      <c r="A867" s="28"/>
      <c r="B867" s="28"/>
      <c r="C867" s="1"/>
      <c r="D867" s="18"/>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2">
      <c r="A868" s="28"/>
      <c r="B868" s="28"/>
      <c r="C868" s="1"/>
      <c r="D868" s="18"/>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2">
      <c r="A869" s="28"/>
      <c r="B869" s="28"/>
      <c r="C869" s="1"/>
      <c r="D869" s="18"/>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2">
      <c r="A870" s="28"/>
      <c r="B870" s="28"/>
      <c r="C870" s="1"/>
      <c r="D870" s="18"/>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2">
      <c r="A871" s="28"/>
      <c r="B871" s="28"/>
      <c r="C871" s="1"/>
      <c r="D871" s="18"/>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2">
      <c r="A872" s="28"/>
      <c r="B872" s="28"/>
      <c r="C872" s="1"/>
      <c r="D872" s="18"/>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2">
      <c r="A873" s="28"/>
      <c r="B873" s="28"/>
      <c r="C873" s="1"/>
      <c r="D873" s="18"/>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2">
      <c r="A874" s="28"/>
      <c r="B874" s="28"/>
      <c r="C874" s="1"/>
      <c r="D874" s="18"/>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2">
      <c r="A875" s="28"/>
      <c r="B875" s="28"/>
      <c r="C875" s="1"/>
      <c r="D875" s="18"/>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2">
      <c r="A876" s="28"/>
      <c r="B876" s="28"/>
      <c r="C876" s="1"/>
      <c r="D876" s="18"/>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2">
      <c r="A877" s="28"/>
      <c r="B877" s="28"/>
      <c r="C877" s="1"/>
      <c r="D877" s="18"/>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2">
      <c r="A878" s="28"/>
      <c r="B878" s="28"/>
      <c r="C878" s="1"/>
      <c r="D878" s="18"/>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2">
      <c r="A879" s="28"/>
      <c r="B879" s="28"/>
      <c r="C879" s="1"/>
      <c r="D879" s="18"/>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2">
      <c r="A880" s="28"/>
      <c r="B880" s="28"/>
      <c r="C880" s="1"/>
      <c r="D880" s="18"/>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2">
      <c r="A881" s="28"/>
      <c r="B881" s="28"/>
      <c r="C881" s="1"/>
      <c r="D881" s="18"/>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2">
      <c r="A882" s="28"/>
      <c r="B882" s="28"/>
      <c r="C882" s="1"/>
      <c r="D882" s="18"/>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2">
      <c r="A883" s="28"/>
      <c r="B883" s="28"/>
      <c r="C883" s="1"/>
      <c r="D883" s="18"/>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2">
      <c r="A884" s="28"/>
      <c r="B884" s="28"/>
      <c r="C884" s="1"/>
      <c r="D884" s="18"/>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2">
      <c r="A885" s="28"/>
      <c r="B885" s="28"/>
      <c r="C885" s="1"/>
      <c r="D885" s="18"/>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2">
      <c r="A886" s="28"/>
      <c r="B886" s="28"/>
      <c r="C886" s="1"/>
      <c r="D886" s="18"/>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2">
      <c r="A887" s="28"/>
      <c r="B887" s="28"/>
      <c r="C887" s="1"/>
      <c r="D887" s="18"/>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2">
      <c r="A888" s="28"/>
      <c r="B888" s="28"/>
      <c r="C888" s="1"/>
      <c r="D888" s="18"/>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2">
      <c r="A889" s="28"/>
      <c r="B889" s="28"/>
      <c r="C889" s="1"/>
      <c r="D889" s="18"/>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2">
      <c r="A890" s="28"/>
      <c r="B890" s="28"/>
      <c r="C890" s="1"/>
      <c r="D890" s="18"/>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2">
      <c r="A891" s="28"/>
      <c r="B891" s="28"/>
      <c r="C891" s="1"/>
      <c r="D891" s="18"/>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2">
      <c r="A892" s="28"/>
      <c r="B892" s="28"/>
      <c r="C892" s="1"/>
      <c r="D892" s="18"/>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2">
      <c r="A893" s="28"/>
      <c r="B893" s="28"/>
      <c r="C893" s="1"/>
      <c r="D893" s="18"/>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2">
      <c r="A894" s="28"/>
      <c r="B894" s="28"/>
      <c r="C894" s="1"/>
      <c r="D894" s="18"/>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2">
      <c r="A895" s="28"/>
      <c r="B895" s="28"/>
      <c r="C895" s="1"/>
      <c r="D895" s="18"/>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2">
      <c r="A896" s="28"/>
      <c r="B896" s="28"/>
      <c r="C896" s="1"/>
      <c r="D896" s="18"/>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2">
      <c r="A897" s="28"/>
      <c r="B897" s="28"/>
      <c r="C897" s="1"/>
      <c r="D897" s="18"/>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2">
      <c r="A898" s="28"/>
      <c r="B898" s="28"/>
      <c r="C898" s="1"/>
      <c r="D898" s="18"/>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2">
      <c r="A899" s="28"/>
      <c r="B899" s="28"/>
      <c r="C899" s="1"/>
      <c r="D899" s="18"/>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2">
      <c r="A900" s="28"/>
      <c r="B900" s="28"/>
      <c r="C900" s="1"/>
      <c r="D900" s="18"/>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2">
      <c r="A901" s="28"/>
      <c r="B901" s="28"/>
      <c r="C901" s="1"/>
      <c r="D901" s="18"/>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2">
      <c r="A902" s="28"/>
      <c r="B902" s="28"/>
      <c r="C902" s="1"/>
      <c r="D902" s="18"/>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2">
      <c r="A903" s="28"/>
      <c r="B903" s="28"/>
      <c r="C903" s="1"/>
      <c r="D903" s="18"/>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2">
      <c r="A904" s="28"/>
      <c r="B904" s="28"/>
      <c r="C904" s="1"/>
      <c r="D904" s="18"/>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2">
      <c r="A905" s="28"/>
      <c r="B905" s="28"/>
      <c r="C905" s="1"/>
      <c r="D905" s="18"/>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2">
      <c r="A906" s="28"/>
      <c r="B906" s="28"/>
      <c r="C906" s="1"/>
      <c r="D906" s="18"/>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2">
      <c r="A907" s="28"/>
      <c r="B907" s="28"/>
      <c r="C907" s="1"/>
      <c r="D907" s="18"/>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2">
      <c r="A908" s="28"/>
      <c r="B908" s="28"/>
      <c r="C908" s="1"/>
      <c r="D908" s="18"/>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2">
      <c r="A909" s="28"/>
      <c r="B909" s="28"/>
      <c r="C909" s="1"/>
      <c r="D909" s="18"/>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2">
      <c r="A910" s="28"/>
      <c r="B910" s="28"/>
      <c r="C910" s="1"/>
      <c r="D910" s="18"/>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2">
      <c r="A911" s="28"/>
      <c r="B911" s="28"/>
      <c r="C911" s="1"/>
      <c r="D911" s="18"/>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2">
      <c r="A912" s="28"/>
      <c r="B912" s="28"/>
      <c r="C912" s="1"/>
      <c r="D912" s="18"/>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2">
      <c r="A913" s="28"/>
      <c r="B913" s="28"/>
      <c r="C913" s="1"/>
      <c r="D913" s="18"/>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2">
      <c r="A914" s="28"/>
      <c r="B914" s="28"/>
      <c r="C914" s="1"/>
      <c r="D914" s="18"/>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2">
      <c r="A915" s="28"/>
      <c r="B915" s="28"/>
      <c r="C915" s="1"/>
      <c r="D915" s="18"/>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2">
      <c r="A916" s="28"/>
      <c r="B916" s="28"/>
      <c r="C916" s="1"/>
      <c r="D916" s="18"/>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2">
      <c r="A917" s="28"/>
      <c r="B917" s="28"/>
      <c r="C917" s="1"/>
      <c r="D917" s="18"/>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2">
      <c r="A918" s="28"/>
      <c r="B918" s="28"/>
      <c r="C918" s="1"/>
      <c r="D918" s="18"/>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2">
      <c r="A919" s="28"/>
      <c r="B919" s="28"/>
      <c r="C919" s="1"/>
      <c r="D919" s="18"/>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2">
      <c r="A920" s="28"/>
      <c r="B920" s="28"/>
      <c r="C920" s="1"/>
      <c r="D920" s="18"/>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2">
      <c r="A921" s="28"/>
      <c r="B921" s="28"/>
      <c r="C921" s="1"/>
      <c r="D921" s="18"/>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2">
      <c r="A922" s="28"/>
      <c r="B922" s="28"/>
      <c r="C922" s="1"/>
      <c r="D922" s="18"/>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2">
      <c r="A923" s="28"/>
      <c r="B923" s="28"/>
      <c r="C923" s="1"/>
      <c r="D923" s="18"/>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2">
      <c r="A924" s="28"/>
      <c r="B924" s="28"/>
      <c r="C924" s="1"/>
      <c r="D924" s="18"/>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2">
      <c r="A925" s="28"/>
      <c r="B925" s="28"/>
      <c r="C925" s="1"/>
      <c r="D925" s="18"/>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2">
      <c r="A926" s="28"/>
      <c r="B926" s="28"/>
      <c r="C926" s="1"/>
      <c r="D926" s="18"/>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2">
      <c r="A927" s="28"/>
      <c r="B927" s="28"/>
      <c r="C927" s="1"/>
      <c r="D927" s="18"/>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2">
      <c r="A928" s="28"/>
      <c r="B928" s="28"/>
      <c r="C928" s="1"/>
      <c r="D928" s="18"/>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2">
      <c r="A929" s="28"/>
      <c r="B929" s="28"/>
      <c r="C929" s="1"/>
      <c r="D929" s="18"/>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2">
      <c r="A930" s="28"/>
      <c r="B930" s="28"/>
      <c r="C930" s="1"/>
      <c r="D930" s="18"/>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2">
      <c r="A931" s="28"/>
      <c r="B931" s="28"/>
      <c r="C931" s="1"/>
      <c r="D931" s="18"/>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2">
      <c r="A932" s="28"/>
      <c r="B932" s="28"/>
      <c r="C932" s="1"/>
      <c r="D932" s="18"/>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2">
      <c r="A933" s="28"/>
      <c r="B933" s="28"/>
      <c r="C933" s="1"/>
      <c r="D933" s="18"/>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2">
      <c r="A934" s="28"/>
      <c r="B934" s="28"/>
      <c r="C934" s="1"/>
      <c r="D934" s="18"/>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2">
      <c r="A935" s="28"/>
      <c r="B935" s="28"/>
      <c r="C935" s="1"/>
      <c r="D935" s="18"/>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2">
      <c r="A936" s="28"/>
      <c r="B936" s="28"/>
      <c r="C936" s="1"/>
      <c r="D936" s="18"/>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2">
      <c r="A937" s="28"/>
      <c r="B937" s="28"/>
      <c r="C937" s="1"/>
      <c r="D937" s="18"/>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2">
      <c r="A938" s="28"/>
      <c r="B938" s="28"/>
      <c r="C938" s="1"/>
      <c r="D938" s="18"/>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2">
      <c r="A939" s="28"/>
      <c r="B939" s="28"/>
      <c r="C939" s="1"/>
      <c r="D939" s="18"/>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2">
      <c r="A940" s="28"/>
      <c r="B940" s="28"/>
      <c r="C940" s="1"/>
      <c r="D940" s="18"/>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2">
      <c r="A941" s="28"/>
      <c r="B941" s="28"/>
      <c r="C941" s="1"/>
      <c r="D941" s="18"/>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2">
      <c r="A942" s="28"/>
      <c r="B942" s="28"/>
      <c r="C942" s="1"/>
      <c r="D942" s="18"/>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2">
      <c r="A943" s="28"/>
      <c r="B943" s="28"/>
      <c r="C943" s="1"/>
      <c r="D943" s="18"/>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2">
      <c r="A944" s="28"/>
      <c r="B944" s="28"/>
      <c r="C944" s="1"/>
      <c r="D944" s="18"/>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2">
      <c r="A945" s="28"/>
      <c r="B945" s="28"/>
      <c r="C945" s="1"/>
      <c r="D945" s="18"/>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2">
      <c r="A946" s="28"/>
      <c r="B946" s="28"/>
      <c r="C946" s="1"/>
      <c r="D946" s="18"/>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2">
      <c r="A947" s="28"/>
      <c r="B947" s="28"/>
      <c r="C947" s="1"/>
      <c r="D947" s="18"/>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2">
      <c r="A948" s="28"/>
      <c r="B948" s="28"/>
      <c r="C948" s="1"/>
      <c r="D948" s="18"/>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2">
      <c r="A949" s="28"/>
      <c r="B949" s="28"/>
      <c r="C949" s="1"/>
      <c r="D949" s="18"/>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2">
      <c r="A950" s="28"/>
      <c r="B950" s="28"/>
      <c r="C950" s="1"/>
      <c r="D950" s="18"/>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2">
      <c r="A951" s="28"/>
      <c r="B951" s="28"/>
      <c r="C951" s="1"/>
      <c r="D951" s="18"/>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2">
      <c r="A952" s="28"/>
      <c r="B952" s="28"/>
      <c r="C952" s="1"/>
      <c r="D952" s="18"/>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2">
      <c r="A953" s="28"/>
      <c r="B953" s="28"/>
      <c r="C953" s="1"/>
      <c r="D953" s="18"/>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2">
      <c r="A954" s="28"/>
      <c r="B954" s="28"/>
      <c r="C954" s="1"/>
      <c r="D954" s="18"/>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2">
      <c r="A955" s="28"/>
      <c r="B955" s="28"/>
      <c r="C955" s="1"/>
      <c r="D955" s="18"/>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2">
      <c r="A956" s="28"/>
      <c r="B956" s="28"/>
      <c r="C956" s="1"/>
      <c r="D956" s="18"/>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2">
      <c r="A957" s="28"/>
      <c r="B957" s="28"/>
      <c r="C957" s="1"/>
      <c r="D957" s="18"/>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2">
      <c r="A958" s="28"/>
      <c r="B958" s="28"/>
      <c r="C958" s="1"/>
      <c r="D958" s="18"/>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2">
      <c r="A959" s="28"/>
      <c r="B959" s="28"/>
      <c r="C959" s="1"/>
      <c r="D959" s="18"/>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2">
      <c r="A960" s="28"/>
      <c r="B960" s="28"/>
      <c r="C960" s="1"/>
      <c r="D960" s="18"/>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2">
      <c r="A961" s="28"/>
      <c r="B961" s="28"/>
      <c r="C961" s="1"/>
      <c r="D961" s="18"/>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2">
      <c r="A962" s="28"/>
      <c r="B962" s="28"/>
      <c r="C962" s="1"/>
      <c r="D962" s="18"/>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2">
      <c r="A963" s="28"/>
      <c r="B963" s="28"/>
      <c r="C963" s="1"/>
      <c r="D963" s="18"/>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2">
      <c r="A964" s="28"/>
      <c r="B964" s="28"/>
      <c r="C964" s="1"/>
      <c r="D964" s="18"/>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2">
      <c r="A965" s="28"/>
      <c r="B965" s="28"/>
      <c r="C965" s="1"/>
      <c r="D965" s="18"/>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2">
      <c r="A966" s="28"/>
      <c r="B966" s="28"/>
      <c r="C966" s="1"/>
      <c r="D966" s="18"/>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2">
      <c r="A967" s="28"/>
      <c r="B967" s="28"/>
      <c r="C967" s="1"/>
      <c r="D967" s="18"/>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2">
      <c r="A968" s="28"/>
      <c r="B968" s="28"/>
      <c r="C968" s="1"/>
      <c r="D968" s="18"/>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2">
      <c r="A969" s="28"/>
      <c r="B969" s="28"/>
      <c r="C969" s="1"/>
      <c r="D969" s="18"/>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2">
      <c r="A970" s="28"/>
      <c r="B970" s="28"/>
      <c r="C970" s="1"/>
      <c r="D970" s="18"/>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2">
      <c r="A971" s="28"/>
      <c r="B971" s="28"/>
      <c r="C971" s="1"/>
      <c r="D971" s="18"/>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2">
      <c r="A972" s="28"/>
      <c r="B972" s="28"/>
      <c r="C972" s="1"/>
      <c r="D972" s="18"/>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2">
      <c r="A973" s="28"/>
      <c r="B973" s="28"/>
      <c r="C973" s="1"/>
      <c r="D973" s="18"/>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2">
      <c r="A974" s="28"/>
      <c r="B974" s="28"/>
      <c r="C974" s="1"/>
      <c r="D974" s="18"/>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2">
      <c r="A975" s="28"/>
      <c r="B975" s="28"/>
      <c r="C975" s="1"/>
      <c r="D975" s="18"/>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2">
      <c r="A976" s="28"/>
      <c r="B976" s="28"/>
      <c r="C976" s="1"/>
      <c r="D976" s="18"/>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2">
      <c r="A977" s="28"/>
      <c r="B977" s="28"/>
      <c r="C977" s="1"/>
      <c r="D977" s="18"/>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2">
      <c r="A978" s="28"/>
      <c r="B978" s="28"/>
      <c r="C978" s="1"/>
      <c r="D978" s="18"/>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2">
      <c r="A979" s="28"/>
      <c r="B979" s="28"/>
      <c r="C979" s="1"/>
      <c r="D979" s="18"/>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2">
      <c r="A980" s="28"/>
      <c r="B980" s="28"/>
      <c r="C980" s="1"/>
      <c r="D980" s="18"/>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2">
      <c r="A981" s="28"/>
      <c r="B981" s="28"/>
      <c r="C981" s="1"/>
      <c r="D981" s="18"/>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2">
      <c r="A982" s="28"/>
      <c r="B982" s="28"/>
      <c r="C982" s="1"/>
      <c r="D982" s="18"/>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2">
      <c r="A983" s="28"/>
      <c r="B983" s="28"/>
      <c r="C983" s="1"/>
      <c r="D983" s="18"/>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2">
      <c r="A984" s="28"/>
      <c r="B984" s="28"/>
      <c r="C984" s="1"/>
      <c r="D984" s="18"/>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2">
      <c r="A985" s="28"/>
      <c r="B985" s="28"/>
      <c r="C985" s="1"/>
      <c r="D985" s="18"/>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2">
      <c r="A986" s="28"/>
      <c r="B986" s="28"/>
      <c r="C986" s="1"/>
      <c r="D986" s="18"/>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2">
      <c r="A987" s="28"/>
      <c r="B987" s="28"/>
      <c r="C987" s="1"/>
      <c r="D987" s="18"/>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2">
      <c r="A988" s="28"/>
      <c r="B988" s="28"/>
      <c r="C988" s="1"/>
      <c r="D988" s="18"/>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2">
      <c r="A989" s="28"/>
      <c r="B989" s="28"/>
      <c r="C989" s="1"/>
      <c r="D989" s="18"/>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2">
      <c r="A990" s="28"/>
      <c r="B990" s="28"/>
      <c r="C990" s="1"/>
      <c r="D990" s="18"/>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2">
      <c r="A991" s="28"/>
      <c r="B991" s="28"/>
      <c r="C991" s="1"/>
      <c r="D991" s="18"/>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2">
      <c r="A992" s="28"/>
      <c r="B992" s="28"/>
      <c r="C992" s="1"/>
      <c r="D992" s="18"/>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2">
      <c r="A993" s="28"/>
      <c r="B993" s="28"/>
      <c r="C993" s="1"/>
      <c r="D993" s="18"/>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2">
      <c r="A994" s="28"/>
      <c r="B994" s="28"/>
      <c r="C994" s="1"/>
      <c r="D994" s="18"/>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2">
      <c r="A995" s="28"/>
      <c r="B995" s="28"/>
      <c r="C995" s="1"/>
      <c r="D995" s="18"/>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2">
      <c r="A996" s="28"/>
      <c r="B996" s="28"/>
      <c r="C996" s="1"/>
      <c r="D996" s="18"/>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2">
      <c r="A997" s="28"/>
      <c r="B997" s="28"/>
      <c r="C997" s="1"/>
      <c r="D997" s="18"/>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2">
      <c r="A998" s="28"/>
      <c r="B998" s="28"/>
      <c r="C998" s="1"/>
      <c r="D998" s="18"/>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2">
      <c r="A999" s="28"/>
      <c r="B999" s="28"/>
      <c r="C999" s="1"/>
      <c r="D999" s="18"/>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2">
      <c r="A1000" s="28"/>
      <c r="B1000" s="28"/>
      <c r="C1000" s="1"/>
      <c r="D1000" s="18"/>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B10:J325" xr:uid="{00000000-0009-0000-0000-000000000000}">
    <filterColumn colId="6">
      <filters>
        <filter val="N"/>
      </filters>
    </filterColumn>
    <filterColumn colId="8">
      <filters blank="1">
        <filter val="1,445"/>
        <filter val="1,979"/>
        <filter val="2,083"/>
        <filter val="2,373"/>
        <filter val="2,664"/>
        <filter val="2,792"/>
        <filter val="8,283"/>
        <filter val="800-990 left"/>
        <filter val="No documents found"/>
        <filter val="Unable to download excel"/>
      </filters>
    </filterColumn>
  </autoFilter>
  <mergeCells count="6">
    <mergeCell ref="A324:A325"/>
    <mergeCell ref="A1:D1"/>
    <mergeCell ref="A3:A8"/>
    <mergeCell ref="E9:F9"/>
    <mergeCell ref="G9:J9"/>
    <mergeCell ref="A11:A323"/>
  </mergeCells>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New Search</vt:lpstr>
      <vt:lpstr>Automation Prepping</vt:lpstr>
      <vt:lpstr>Selena Automation Tracking</vt:lpstr>
      <vt:lpstr>Old Search_Do Not Use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Author</dc:creator>
  <cp:keywords/>
  <dc:description/>
  <cp:lastModifiedBy>Wallace, Selena F</cp:lastModifiedBy>
  <cp:revision/>
  <dcterms:created xsi:type="dcterms:W3CDTF">2020-05-31T23:16:35Z</dcterms:created>
  <dcterms:modified xsi:type="dcterms:W3CDTF">2024-04-03T22:58:17Z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0x0101004B37FFA46323074DAC21D744BC6B267B</vt:lpwstr>
  </property>
</Properties>
</file>